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Inputs" sheetId="2" state="visible" r:id="rId2"/>
    <sheet name="Annual NOI" sheetId="3" state="visible" r:id="rId3"/>
    <sheet name="Debt Schedule" sheetId="4" state="visible" r:id="rId4"/>
    <sheet name="Cash Flows" sheetId="5" state="visible" r:id="rId5"/>
    <sheet name="Reconciliation" sheetId="6" state="visible" r:id="rId6"/>
    <sheet name="Lineage" sheetId="7" state="visible" r:id="rId7"/>
  </sheets>
  <definedNames>
    <definedName name="_xlnm._FilterDatabase" localSheetId="0" hidden="1">'Control'!$A$1:$C$9</definedName>
    <definedName name="_xlnm._FilterDatabase" localSheetId="1" hidden="1">'Inputs'!$A$1:$C$18</definedName>
    <definedName name="_xlnm._FilterDatabase" localSheetId="2" hidden="1">'Annual NOI'!$A$1:$G$8</definedName>
    <definedName name="_xlnm._FilterDatabase" localSheetId="3" hidden="1">'Debt Schedule'!$A$1:$J$63</definedName>
    <definedName name="_xlnm._FilterDatabase" localSheetId="4" hidden="1">'Cash Flows'!$A$1:$D$14</definedName>
    <definedName name="_xlnm._FilterDatabase" localSheetId="5" hidden="1">'Reconciliation'!$A$1:$F$11</definedName>
    <definedName name="_xlnm._FilterDatabase" localSheetId="6" hidden="1">'Lineage'!$A$1:$L$21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6">
    <numFmt numFmtId="164" formatCode="$#,##0.00;[Red]-$#,##0.00"/>
    <numFmt numFmtId="165" formatCode="0.0%"/>
    <numFmt numFmtId="166" formatCode="$#,##0.00"/>
    <numFmt numFmtId="167" formatCode="0.00x"/>
    <numFmt numFmtId="168" formatCode="0.0000%"/>
    <numFmt numFmtId="169" formatCode="0.000000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10" fontId="0" fillId="3" borderId="0" pivotButton="0" quotePrefix="0" xfId="0"/>
    <xf numFmtId="164" fontId="0" fillId="3" borderId="0" pivotButton="0" quotePrefix="0" xfId="0"/>
    <xf numFmtId="167" fontId="0" fillId="3" borderId="0" pivotButton="0" quotePrefix="0" xfId="0"/>
    <xf numFmtId="0" fontId="2" fillId="2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6" customWidth="1" min="2" max="2"/>
    <col width="18" customWidth="1" min="3" max="3"/>
  </cols>
  <sheetData>
    <row r="1">
      <c r="A1" s="1" t="inlineStr">
        <is>
          <t>ILLUSTRATIVE — Workbook control</t>
        </is>
      </c>
    </row>
    <row r="3">
      <c r="A3" t="inlineStr">
        <is>
          <t>ILLUSTRATIVE — replace all inputs with source-backed values before relying on any output.</t>
        </is>
      </c>
    </row>
    <row r="4">
      <c r="A4" t="inlineStr">
        <is>
          <t>Purpose</t>
        </is>
      </c>
      <c r="B4" t="inlineStr">
        <is>
          <t>Formula-based reconciliation of the current AtlasRE acquisition case.</t>
        </is>
      </c>
    </row>
    <row r="5">
      <c r="A5" t="inlineStr">
        <is>
          <t>Calculation</t>
        </is>
      </c>
      <c r="B5" t="inlineStr">
        <is>
          <t>Open in Excel or LibreOffice to recalculate live formulas before review.</t>
        </is>
      </c>
    </row>
    <row r="6">
      <c r="A6" t="inlineStr">
        <is>
          <t>Model version</t>
        </is>
      </c>
      <c r="B6" t="inlineStr">
        <is>
          <t>deterministic-core-v0.10</t>
        </is>
      </c>
    </row>
    <row r="7">
      <c r="A7" t="inlineStr">
        <is>
          <t>Run fingerprint</t>
        </is>
      </c>
      <c r="B7" t="inlineStr">
        <is>
          <t>0ded2ea82bc0c0c27fb6ab5c14b7580eea437c81d3cd2aa54208570e0d79f861</t>
        </is>
      </c>
    </row>
    <row r="8">
      <c r="A8" t="inlineStr">
        <is>
          <t>Source status</t>
        </is>
      </c>
      <c r="B8" t="inlineStr">
        <is>
          <t>REVIEW REQUIRED</t>
        </is>
      </c>
    </row>
    <row r="9">
      <c r="A9" t="inlineStr">
        <is>
          <t>Workbook scope</t>
        </is>
      </c>
      <c r="B9" t="inlineStr">
        <is>
          <t>Acquisition underwriting only; no tax, refinancing, lease, or market-data model.</t>
        </is>
      </c>
    </row>
  </sheetData>
  <autoFilter ref="A1:C9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</cols>
  <sheetData>
    <row r="1">
      <c r="A1" s="1" t="inlineStr">
        <is>
          <t>ILLUSTRATIVE — Inputs</t>
        </is>
      </c>
    </row>
    <row r="3">
      <c r="A3" s="2" t="inlineStr">
        <is>
          <t>Input</t>
        </is>
      </c>
      <c r="B3" s="2" t="inlineStr">
        <is>
          <t>Workbook value</t>
        </is>
      </c>
      <c r="C3" s="2" t="inlineStr">
        <is>
          <t>Unit / note</t>
        </is>
      </c>
    </row>
    <row r="4">
      <c r="A4" t="inlineStr">
        <is>
          <t>Purchase price</t>
        </is>
      </c>
      <c r="B4" s="3" t="n">
        <v>10000000</v>
      </c>
      <c r="C4" s="4" t="inlineStr">
        <is>
          <t>USD</t>
        </is>
      </c>
    </row>
    <row r="5">
      <c r="A5" t="inlineStr">
        <is>
          <t>Annual NOI (year 1)</t>
        </is>
      </c>
      <c r="B5" s="3" t="n">
        <v>650000</v>
      </c>
      <c r="C5" s="4" t="inlineStr">
        <is>
          <t>USD / year</t>
        </is>
      </c>
    </row>
    <row r="6">
      <c r="A6" t="inlineStr">
        <is>
          <t>Hold years</t>
        </is>
      </c>
      <c r="B6" s="5" t="n">
        <v>5</v>
      </c>
      <c r="C6" t="inlineStr">
        <is>
          <t>years</t>
        </is>
      </c>
    </row>
    <row r="7">
      <c r="A7" t="inlineStr">
        <is>
          <t>Annual NOI growth</t>
        </is>
      </c>
      <c r="B7" s="6" t="n">
        <v>0.03</v>
      </c>
      <c r="C7" t="inlineStr">
        <is>
          <t>decimal</t>
        </is>
      </c>
    </row>
    <row r="8">
      <c r="A8" t="inlineStr">
        <is>
          <t>Exit cap rate</t>
        </is>
      </c>
      <c r="B8" t="n">
        <v>0.06</v>
      </c>
      <c r="C8" t="inlineStr">
        <is>
          <t>decimal</t>
        </is>
      </c>
    </row>
    <row r="9">
      <c r="A9" t="inlineStr">
        <is>
          <t>Discount rate</t>
        </is>
      </c>
      <c r="B9" t="n">
        <v>0.1</v>
      </c>
      <c r="C9" t="inlineStr">
        <is>
          <t>decimal</t>
        </is>
      </c>
    </row>
    <row r="10">
      <c r="A10" t="inlineStr">
        <is>
          <t>Acquisition cost</t>
        </is>
      </c>
      <c r="B10" t="n">
        <v>0.03</v>
      </c>
      <c r="C10" t="inlineStr">
        <is>
          <t>decimal</t>
        </is>
      </c>
    </row>
    <row r="11">
      <c r="A11" t="inlineStr">
        <is>
          <t>Selling cost</t>
        </is>
      </c>
      <c r="B11" t="n">
        <v>0.02</v>
      </c>
      <c r="C11" t="inlineStr">
        <is>
          <t>decimal</t>
        </is>
      </c>
    </row>
    <row r="12">
      <c r="A12" t="inlineStr">
        <is>
          <t>Leverage</t>
        </is>
      </c>
      <c r="B12" t="n">
        <v>0.5</v>
      </c>
      <c r="C12" t="inlineStr">
        <is>
          <t>decimal</t>
        </is>
      </c>
    </row>
    <row r="13">
      <c r="A13" t="inlineStr">
        <is>
          <t>Debt rate</t>
        </is>
      </c>
      <c r="B13" s="5" t="n">
        <v>0.06</v>
      </c>
      <c r="C13" t="inlineStr">
        <is>
          <t>decimal</t>
        </is>
      </c>
    </row>
    <row r="14">
      <c r="A14" t="inlineStr">
        <is>
          <t>Debt amortization</t>
        </is>
      </c>
      <c r="B14" s="6" t="n">
        <v>20</v>
      </c>
      <c r="C14" t="inlineStr">
        <is>
          <t>years</t>
        </is>
      </c>
    </row>
    <row r="15">
      <c r="A15" t="inlineStr">
        <is>
          <t>IRR hurdle</t>
        </is>
      </c>
      <c r="B15" s="6" t="n">
        <v>0.12</v>
      </c>
      <c r="C15" t="inlineStr">
        <is>
          <t>decimal; not a core model input</t>
        </is>
      </c>
    </row>
    <row r="16">
      <c r="A16" t="inlineStr">
        <is>
          <t>Model version</t>
        </is>
      </c>
      <c r="B16" s="6" t="inlineStr">
        <is>
          <t>deterministic-core-v0.10</t>
        </is>
      </c>
      <c r="C16" t="inlineStr">
        <is>
          <t>text</t>
        </is>
      </c>
    </row>
    <row r="17">
      <c r="A17" t="inlineStr">
        <is>
          <t>Run fingerprint</t>
        </is>
      </c>
      <c r="B17" t="inlineStr">
        <is>
          <t>0ded2ea82bc0c0c27fb6ab5c14b7580eea437c81d3cd2aa54208570e0d79f861</t>
        </is>
      </c>
      <c r="C17" t="inlineStr">
        <is>
          <t>text</t>
        </is>
      </c>
    </row>
    <row r="18">
      <c r="A18" t="inlineStr">
        <is>
          <t>Source status</t>
        </is>
      </c>
      <c r="B18" t="inlineStr">
        <is>
          <t>REVIEW REQUIRED</t>
        </is>
      </c>
      <c r="C18" t="inlineStr">
        <is>
          <t>ILLUSTRATIVE unless independently verified</t>
        </is>
      </c>
    </row>
  </sheetData>
  <autoFilter ref="A1:C18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  <col width="12" customWidth="1" min="7" max="7"/>
  </cols>
  <sheetData>
    <row r="1">
      <c r="A1" s="1" t="inlineStr">
        <is>
          <t>ILLUSTRATIVE — Annual NOI and terminal value</t>
        </is>
      </c>
    </row>
    <row r="3">
      <c r="A3" s="2" t="inlineStr">
        <is>
          <t>Year</t>
        </is>
      </c>
      <c r="B3" s="2" t="inlineStr">
        <is>
          <t>NOI</t>
        </is>
      </c>
      <c r="C3" s="2" t="inlineStr">
        <is>
          <t>Exit value</t>
        </is>
      </c>
      <c r="D3" s="2" t="inlineStr">
        <is>
          <t>Selling cost</t>
        </is>
      </c>
      <c r="E3" s="2" t="inlineStr">
        <is>
          <t>Unlevered operating CF</t>
        </is>
      </c>
      <c r="F3" s="2" t="inlineStr">
        <is>
          <t>Debt service</t>
        </is>
      </c>
      <c r="G3" s="2" t="inlineStr">
        <is>
          <t>DSCR</t>
        </is>
      </c>
    </row>
    <row r="4">
      <c r="A4" t="n">
        <v>1</v>
      </c>
      <c r="B4" s="7">
        <f>Inputs!$B$5*(1+Inputs!$B$7)^(A4-1)</f>
        <v/>
      </c>
      <c r="C4" s="7">
        <f>IF(A4=Inputs!$B$6,B4/Inputs!$B$8,0)</f>
        <v/>
      </c>
      <c r="D4" s="7">
        <f>C4*Inputs!$B$11</f>
        <v/>
      </c>
      <c r="E4" s="7">
        <f>B4+C4-D4</f>
        <v/>
      </c>
      <c r="F4" s="7">
        <f>SUMIFS('Debt Schedule'!$F$4:$F$63,'Debt Schedule'!$B$4:$B$63,A4)</f>
        <v/>
      </c>
      <c r="G4" s="8">
        <f>IF(F4=0,"",B4/F4)</f>
        <v/>
      </c>
    </row>
    <row r="5">
      <c r="A5" t="n">
        <v>2</v>
      </c>
      <c r="B5" s="7">
        <f>Inputs!$B$5*(1+Inputs!$B$7)^(A5-1)</f>
        <v/>
      </c>
      <c r="C5" s="7">
        <f>IF(A5=Inputs!$B$6,B5/Inputs!$B$8,0)</f>
        <v/>
      </c>
      <c r="D5" s="7">
        <f>C5*Inputs!$B$11</f>
        <v/>
      </c>
      <c r="E5" s="7">
        <f>B5+C5-D5</f>
        <v/>
      </c>
      <c r="F5" s="7">
        <f>SUMIFS('Debt Schedule'!$F$4:$F$63,'Debt Schedule'!$B$4:$B$63,A5)</f>
        <v/>
      </c>
      <c r="G5" s="8">
        <f>IF(F5=0,"",B5/F5)</f>
        <v/>
      </c>
    </row>
    <row r="6">
      <c r="A6" t="n">
        <v>3</v>
      </c>
      <c r="B6" s="7">
        <f>Inputs!$B$5*(1+Inputs!$B$7)^(A6-1)</f>
        <v/>
      </c>
      <c r="C6" s="7">
        <f>IF(A6=Inputs!$B$6,B6/Inputs!$B$8,0)</f>
        <v/>
      </c>
      <c r="D6" s="7">
        <f>C6*Inputs!$B$11</f>
        <v/>
      </c>
      <c r="E6" s="7">
        <f>B6+C6-D6</f>
        <v/>
      </c>
      <c r="F6" s="7">
        <f>SUMIFS('Debt Schedule'!$F$4:$F$63,'Debt Schedule'!$B$4:$B$63,A6)</f>
        <v/>
      </c>
      <c r="G6" s="8">
        <f>IF(F6=0,"",B6/F6)</f>
        <v/>
      </c>
    </row>
    <row r="7">
      <c r="A7" t="n">
        <v>4</v>
      </c>
      <c r="B7" s="7">
        <f>Inputs!$B$5*(1+Inputs!$B$7)^(A7-1)</f>
        <v/>
      </c>
      <c r="C7" s="7">
        <f>IF(A7=Inputs!$B$6,B7/Inputs!$B$8,0)</f>
        <v/>
      </c>
      <c r="D7" s="7">
        <f>C7*Inputs!$B$11</f>
        <v/>
      </c>
      <c r="E7" s="7">
        <f>B7+C7-D7</f>
        <v/>
      </c>
      <c r="F7" s="7">
        <f>SUMIFS('Debt Schedule'!$F$4:$F$63,'Debt Schedule'!$B$4:$B$63,A7)</f>
        <v/>
      </c>
      <c r="G7" s="8">
        <f>IF(F7=0,"",B7/F7)</f>
        <v/>
      </c>
    </row>
    <row r="8">
      <c r="A8" t="n">
        <v>5</v>
      </c>
      <c r="B8" s="7">
        <f>Inputs!$B$5*(1+Inputs!$B$7)^(A8-1)</f>
        <v/>
      </c>
      <c r="C8" s="7">
        <f>IF(A8=Inputs!$B$6,B8/Inputs!$B$8,0)</f>
        <v/>
      </c>
      <c r="D8" s="7">
        <f>C8*Inputs!$B$11</f>
        <v/>
      </c>
      <c r="E8" s="7">
        <f>B8+C8-D8</f>
        <v/>
      </c>
      <c r="F8" s="7">
        <f>SUMIFS('Debt Schedule'!$F$4:$F$63,'Debt Schedule'!$B$4:$B$63,A8)</f>
        <v/>
      </c>
      <c r="G8" s="8">
        <f>IF(F8=0,"",B8/F8)</f>
        <v/>
      </c>
    </row>
  </sheetData>
  <autoFilter ref="A1:G8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8" customWidth="1" min="5" max="5"/>
    <col width="18" customWidth="1" min="6" max="6"/>
    <col width="20" customWidth="1" min="7" max="7"/>
    <col width="20" customWidth="1" min="8" max="8"/>
    <col width="18" customWidth="1" min="9" max="9"/>
    <col width="22" customWidth="1" min="10" max="10"/>
  </cols>
  <sheetData>
    <row r="1">
      <c r="A1" s="1" t="inlineStr">
        <is>
          <t>ILLUSTRATIVE — Monthly debt schedule</t>
        </is>
      </c>
    </row>
    <row r="3">
      <c r="A3" s="2" t="inlineStr">
        <is>
          <t>Month</t>
        </is>
      </c>
      <c r="B3" s="2" t="inlineStr">
        <is>
          <t>Year</t>
        </is>
      </c>
      <c r="C3" s="2" t="inlineStr">
        <is>
          <t>Beginning balance</t>
        </is>
      </c>
      <c r="D3" s="2" t="inlineStr">
        <is>
          <t>Monthly rate</t>
        </is>
      </c>
      <c r="E3" s="2" t="inlineStr">
        <is>
          <t>Interest (IPMT)</t>
        </is>
      </c>
      <c r="F3" s="2" t="inlineStr">
        <is>
          <t>Payment (PMT)</t>
        </is>
      </c>
      <c r="G3" s="2" t="inlineStr">
        <is>
          <t>Principal (PPMT)</t>
        </is>
      </c>
      <c r="H3" s="2" t="inlineStr">
        <is>
          <t>Ending balance</t>
        </is>
      </c>
      <c r="I3" s="2" t="inlineStr">
        <is>
          <t>Balloon payoff</t>
        </is>
      </c>
      <c r="J3" s="2" t="inlineStr">
        <is>
          <t>Annual debt service</t>
        </is>
      </c>
    </row>
    <row r="4">
      <c r="A4" t="n">
        <v>1</v>
      </c>
      <c r="B4">
        <f>ROUNDUP(A4/12,0)</f>
        <v/>
      </c>
      <c r="C4" s="7">
        <f>Inputs!$B$4*Inputs!$B$12</f>
        <v/>
      </c>
      <c r="D4" s="9">
        <f>Inputs!$B$13/12</f>
        <v/>
      </c>
      <c r="E4" s="7">
        <f>-IPMT(D4,A4,Inputs!$B$14*12,Inputs!$B$4*Inputs!$B$12)</f>
        <v/>
      </c>
      <c r="F4" s="7">
        <f>-PMT(D4,Inputs!$B$14*12,Inputs!$B$4*Inputs!$B$12)</f>
        <v/>
      </c>
      <c r="G4" s="7">
        <f>-PPMT(D4,A4,Inputs!$B$14*12,Inputs!$B$4*Inputs!$B$12)</f>
        <v/>
      </c>
      <c r="H4" s="7">
        <f>MAX(0,C4-G4)</f>
        <v/>
      </c>
      <c r="I4" s="7">
        <f>IF(A4=Inputs!$B$6*12,H4,0)</f>
        <v/>
      </c>
      <c r="J4" s="7">
        <f>SUMIFS($F$4:$F$63,$B$4:$B$63,B4)</f>
        <v/>
      </c>
    </row>
    <row r="5">
      <c r="A5" t="n">
        <v>2</v>
      </c>
      <c r="B5">
        <f>ROUNDUP(A5/12,0)</f>
        <v/>
      </c>
      <c r="C5" s="7">
        <f>H4</f>
        <v/>
      </c>
      <c r="D5" s="9">
        <f>Inputs!$B$13/12</f>
        <v/>
      </c>
      <c r="E5" s="7">
        <f>-IPMT(D5,A5,Inputs!$B$14*12,Inputs!$B$4*Inputs!$B$12)</f>
        <v/>
      </c>
      <c r="F5" s="7">
        <f>-PMT(D5,Inputs!$B$14*12,Inputs!$B$4*Inputs!$B$12)</f>
        <v/>
      </c>
      <c r="G5" s="7">
        <f>-PPMT(D5,A5,Inputs!$B$14*12,Inputs!$B$4*Inputs!$B$12)</f>
        <v/>
      </c>
      <c r="H5" s="7">
        <f>MAX(0,C5-G5)</f>
        <v/>
      </c>
      <c r="I5" s="7">
        <f>IF(A5=Inputs!$B$6*12,H5,0)</f>
        <v/>
      </c>
      <c r="J5" s="7">
        <f>SUMIFS($F$4:$F$63,$B$4:$B$63,B5)</f>
        <v/>
      </c>
    </row>
    <row r="6">
      <c r="A6" t="n">
        <v>3</v>
      </c>
      <c r="B6">
        <f>ROUNDUP(A6/12,0)</f>
        <v/>
      </c>
      <c r="C6" s="7">
        <f>H5</f>
        <v/>
      </c>
      <c r="D6" s="9">
        <f>Inputs!$B$13/12</f>
        <v/>
      </c>
      <c r="E6" s="7">
        <f>-IPMT(D6,A6,Inputs!$B$14*12,Inputs!$B$4*Inputs!$B$12)</f>
        <v/>
      </c>
      <c r="F6" s="7">
        <f>-PMT(D6,Inputs!$B$14*12,Inputs!$B$4*Inputs!$B$12)</f>
        <v/>
      </c>
      <c r="G6" s="7">
        <f>-PPMT(D6,A6,Inputs!$B$14*12,Inputs!$B$4*Inputs!$B$12)</f>
        <v/>
      </c>
      <c r="H6" s="7">
        <f>MAX(0,C6-G6)</f>
        <v/>
      </c>
      <c r="I6" s="7">
        <f>IF(A6=Inputs!$B$6*12,H6,0)</f>
        <v/>
      </c>
      <c r="J6" s="7">
        <f>SUMIFS($F$4:$F$63,$B$4:$B$63,B6)</f>
        <v/>
      </c>
    </row>
    <row r="7">
      <c r="A7" t="n">
        <v>4</v>
      </c>
      <c r="B7">
        <f>ROUNDUP(A7/12,0)</f>
        <v/>
      </c>
      <c r="C7" s="7">
        <f>H6</f>
        <v/>
      </c>
      <c r="D7" s="9">
        <f>Inputs!$B$13/12</f>
        <v/>
      </c>
      <c r="E7" s="7">
        <f>-IPMT(D7,A7,Inputs!$B$14*12,Inputs!$B$4*Inputs!$B$12)</f>
        <v/>
      </c>
      <c r="F7" s="7">
        <f>-PMT(D7,Inputs!$B$14*12,Inputs!$B$4*Inputs!$B$12)</f>
        <v/>
      </c>
      <c r="G7" s="7">
        <f>-PPMT(D7,A7,Inputs!$B$14*12,Inputs!$B$4*Inputs!$B$12)</f>
        <v/>
      </c>
      <c r="H7" s="7">
        <f>MAX(0,C7-G7)</f>
        <v/>
      </c>
      <c r="I7" s="7">
        <f>IF(A7=Inputs!$B$6*12,H7,0)</f>
        <v/>
      </c>
      <c r="J7" s="7">
        <f>SUMIFS($F$4:$F$63,$B$4:$B$63,B7)</f>
        <v/>
      </c>
    </row>
    <row r="8">
      <c r="A8" t="n">
        <v>5</v>
      </c>
      <c r="B8">
        <f>ROUNDUP(A8/12,0)</f>
        <v/>
      </c>
      <c r="C8" s="7">
        <f>H7</f>
        <v/>
      </c>
      <c r="D8" s="9">
        <f>Inputs!$B$13/12</f>
        <v/>
      </c>
      <c r="E8" s="7">
        <f>-IPMT(D8,A8,Inputs!$B$14*12,Inputs!$B$4*Inputs!$B$12)</f>
        <v/>
      </c>
      <c r="F8" s="7">
        <f>-PMT(D8,Inputs!$B$14*12,Inputs!$B$4*Inputs!$B$12)</f>
        <v/>
      </c>
      <c r="G8" s="7">
        <f>-PPMT(D8,A8,Inputs!$B$14*12,Inputs!$B$4*Inputs!$B$12)</f>
        <v/>
      </c>
      <c r="H8" s="7">
        <f>MAX(0,C8-G8)</f>
        <v/>
      </c>
      <c r="I8" s="7">
        <f>IF(A8=Inputs!$B$6*12,H8,0)</f>
        <v/>
      </c>
      <c r="J8" s="7">
        <f>SUMIFS($F$4:$F$63,$B$4:$B$63,B8)</f>
        <v/>
      </c>
    </row>
    <row r="9">
      <c r="A9" t="n">
        <v>6</v>
      </c>
      <c r="B9">
        <f>ROUNDUP(A9/12,0)</f>
        <v/>
      </c>
      <c r="C9" s="7">
        <f>H8</f>
        <v/>
      </c>
      <c r="D9" s="9">
        <f>Inputs!$B$13/12</f>
        <v/>
      </c>
      <c r="E9" s="7">
        <f>-IPMT(D9,A9,Inputs!$B$14*12,Inputs!$B$4*Inputs!$B$12)</f>
        <v/>
      </c>
      <c r="F9" s="7">
        <f>-PMT(D9,Inputs!$B$14*12,Inputs!$B$4*Inputs!$B$12)</f>
        <v/>
      </c>
      <c r="G9" s="7">
        <f>-PPMT(D9,A9,Inputs!$B$14*12,Inputs!$B$4*Inputs!$B$12)</f>
        <v/>
      </c>
      <c r="H9" s="7">
        <f>MAX(0,C9-G9)</f>
        <v/>
      </c>
      <c r="I9" s="7">
        <f>IF(A9=Inputs!$B$6*12,H9,0)</f>
        <v/>
      </c>
      <c r="J9" s="7">
        <f>SUMIFS($F$4:$F$63,$B$4:$B$63,B9)</f>
        <v/>
      </c>
    </row>
    <row r="10">
      <c r="A10" t="n">
        <v>7</v>
      </c>
      <c r="B10">
        <f>ROUNDUP(A10/12,0)</f>
        <v/>
      </c>
      <c r="C10" s="7">
        <f>H9</f>
        <v/>
      </c>
      <c r="D10" s="9">
        <f>Inputs!$B$13/12</f>
        <v/>
      </c>
      <c r="E10" s="7">
        <f>-IPMT(D10,A10,Inputs!$B$14*12,Inputs!$B$4*Inputs!$B$12)</f>
        <v/>
      </c>
      <c r="F10" s="7">
        <f>-PMT(D10,Inputs!$B$14*12,Inputs!$B$4*Inputs!$B$12)</f>
        <v/>
      </c>
      <c r="G10" s="7">
        <f>-PPMT(D10,A10,Inputs!$B$14*12,Inputs!$B$4*Inputs!$B$12)</f>
        <v/>
      </c>
      <c r="H10" s="7">
        <f>MAX(0,C10-G10)</f>
        <v/>
      </c>
      <c r="I10" s="7">
        <f>IF(A10=Inputs!$B$6*12,H10,0)</f>
        <v/>
      </c>
      <c r="J10" s="7">
        <f>SUMIFS($F$4:$F$63,$B$4:$B$63,B10)</f>
        <v/>
      </c>
    </row>
    <row r="11">
      <c r="A11" t="n">
        <v>8</v>
      </c>
      <c r="B11">
        <f>ROUNDUP(A11/12,0)</f>
        <v/>
      </c>
      <c r="C11" s="7">
        <f>H10</f>
        <v/>
      </c>
      <c r="D11" s="9">
        <f>Inputs!$B$13/12</f>
        <v/>
      </c>
      <c r="E11" s="7">
        <f>-IPMT(D11,A11,Inputs!$B$14*12,Inputs!$B$4*Inputs!$B$12)</f>
        <v/>
      </c>
      <c r="F11" s="7">
        <f>-PMT(D11,Inputs!$B$14*12,Inputs!$B$4*Inputs!$B$12)</f>
        <v/>
      </c>
      <c r="G11" s="7">
        <f>-PPMT(D11,A11,Inputs!$B$14*12,Inputs!$B$4*Inputs!$B$12)</f>
        <v/>
      </c>
      <c r="H11" s="7">
        <f>MAX(0,C11-G11)</f>
        <v/>
      </c>
      <c r="I11" s="7">
        <f>IF(A11=Inputs!$B$6*12,H11,0)</f>
        <v/>
      </c>
      <c r="J11" s="7">
        <f>SUMIFS($F$4:$F$63,$B$4:$B$63,B11)</f>
        <v/>
      </c>
    </row>
    <row r="12">
      <c r="A12" t="n">
        <v>9</v>
      </c>
      <c r="B12">
        <f>ROUNDUP(A12/12,0)</f>
        <v/>
      </c>
      <c r="C12" s="7">
        <f>H11</f>
        <v/>
      </c>
      <c r="D12" s="9">
        <f>Inputs!$B$13/12</f>
        <v/>
      </c>
      <c r="E12" s="7">
        <f>-IPMT(D12,A12,Inputs!$B$14*12,Inputs!$B$4*Inputs!$B$12)</f>
        <v/>
      </c>
      <c r="F12" s="7">
        <f>-PMT(D12,Inputs!$B$14*12,Inputs!$B$4*Inputs!$B$12)</f>
        <v/>
      </c>
      <c r="G12" s="7">
        <f>-PPMT(D12,A12,Inputs!$B$14*12,Inputs!$B$4*Inputs!$B$12)</f>
        <v/>
      </c>
      <c r="H12" s="7">
        <f>MAX(0,C12-G12)</f>
        <v/>
      </c>
      <c r="I12" s="7">
        <f>IF(A12=Inputs!$B$6*12,H12,0)</f>
        <v/>
      </c>
      <c r="J12" s="7">
        <f>SUMIFS($F$4:$F$63,$B$4:$B$63,B12)</f>
        <v/>
      </c>
    </row>
    <row r="13">
      <c r="A13" t="n">
        <v>10</v>
      </c>
      <c r="B13">
        <f>ROUNDUP(A13/12,0)</f>
        <v/>
      </c>
      <c r="C13" s="7">
        <f>H12</f>
        <v/>
      </c>
      <c r="D13" s="9">
        <f>Inputs!$B$13/12</f>
        <v/>
      </c>
      <c r="E13" s="7">
        <f>-IPMT(D13,A13,Inputs!$B$14*12,Inputs!$B$4*Inputs!$B$12)</f>
        <v/>
      </c>
      <c r="F13" s="7">
        <f>-PMT(D13,Inputs!$B$14*12,Inputs!$B$4*Inputs!$B$12)</f>
        <v/>
      </c>
      <c r="G13" s="7">
        <f>-PPMT(D13,A13,Inputs!$B$14*12,Inputs!$B$4*Inputs!$B$12)</f>
        <v/>
      </c>
      <c r="H13" s="7">
        <f>MAX(0,C13-G13)</f>
        <v/>
      </c>
      <c r="I13" s="7">
        <f>IF(A13=Inputs!$B$6*12,H13,0)</f>
        <v/>
      </c>
      <c r="J13" s="7">
        <f>SUMIFS($F$4:$F$63,$B$4:$B$63,B13)</f>
        <v/>
      </c>
    </row>
    <row r="14">
      <c r="A14" t="n">
        <v>11</v>
      </c>
      <c r="B14">
        <f>ROUNDUP(A14/12,0)</f>
        <v/>
      </c>
      <c r="C14" s="7">
        <f>H13</f>
        <v/>
      </c>
      <c r="D14" s="9">
        <f>Inputs!$B$13/12</f>
        <v/>
      </c>
      <c r="E14" s="7">
        <f>-IPMT(D14,A14,Inputs!$B$14*12,Inputs!$B$4*Inputs!$B$12)</f>
        <v/>
      </c>
      <c r="F14" s="7">
        <f>-PMT(D14,Inputs!$B$14*12,Inputs!$B$4*Inputs!$B$12)</f>
        <v/>
      </c>
      <c r="G14" s="7">
        <f>-PPMT(D14,A14,Inputs!$B$14*12,Inputs!$B$4*Inputs!$B$12)</f>
        <v/>
      </c>
      <c r="H14" s="7">
        <f>MAX(0,C14-G14)</f>
        <v/>
      </c>
      <c r="I14" s="7">
        <f>IF(A14=Inputs!$B$6*12,H14,0)</f>
        <v/>
      </c>
      <c r="J14" s="7">
        <f>SUMIFS($F$4:$F$63,$B$4:$B$63,B14)</f>
        <v/>
      </c>
    </row>
    <row r="15">
      <c r="A15" t="n">
        <v>12</v>
      </c>
      <c r="B15">
        <f>ROUNDUP(A15/12,0)</f>
        <v/>
      </c>
      <c r="C15" s="7">
        <f>H14</f>
        <v/>
      </c>
      <c r="D15" s="9">
        <f>Inputs!$B$13/12</f>
        <v/>
      </c>
      <c r="E15" s="7">
        <f>-IPMT(D15,A15,Inputs!$B$14*12,Inputs!$B$4*Inputs!$B$12)</f>
        <v/>
      </c>
      <c r="F15" s="7">
        <f>-PMT(D15,Inputs!$B$14*12,Inputs!$B$4*Inputs!$B$12)</f>
        <v/>
      </c>
      <c r="G15" s="7">
        <f>-PPMT(D15,A15,Inputs!$B$14*12,Inputs!$B$4*Inputs!$B$12)</f>
        <v/>
      </c>
      <c r="H15" s="7">
        <f>MAX(0,C15-G15)</f>
        <v/>
      </c>
      <c r="I15" s="7">
        <f>IF(A15=Inputs!$B$6*12,H15,0)</f>
        <v/>
      </c>
      <c r="J15" s="7">
        <f>SUMIFS($F$4:$F$63,$B$4:$B$63,B15)</f>
        <v/>
      </c>
    </row>
    <row r="16">
      <c r="A16" t="n">
        <v>13</v>
      </c>
      <c r="B16">
        <f>ROUNDUP(A16/12,0)</f>
        <v/>
      </c>
      <c r="C16" s="7">
        <f>H15</f>
        <v/>
      </c>
      <c r="D16" s="9">
        <f>Inputs!$B$13/12</f>
        <v/>
      </c>
      <c r="E16" s="7">
        <f>-IPMT(D16,A16,Inputs!$B$14*12,Inputs!$B$4*Inputs!$B$12)</f>
        <v/>
      </c>
      <c r="F16" s="7">
        <f>-PMT(D16,Inputs!$B$14*12,Inputs!$B$4*Inputs!$B$12)</f>
        <v/>
      </c>
      <c r="G16" s="7">
        <f>-PPMT(D16,A16,Inputs!$B$14*12,Inputs!$B$4*Inputs!$B$12)</f>
        <v/>
      </c>
      <c r="H16" s="7">
        <f>MAX(0,C16-G16)</f>
        <v/>
      </c>
      <c r="I16" s="7">
        <f>IF(A16=Inputs!$B$6*12,H16,0)</f>
        <v/>
      </c>
      <c r="J16" s="7">
        <f>SUMIFS($F$4:$F$63,$B$4:$B$63,B16)</f>
        <v/>
      </c>
    </row>
    <row r="17">
      <c r="A17" t="n">
        <v>14</v>
      </c>
      <c r="B17">
        <f>ROUNDUP(A17/12,0)</f>
        <v/>
      </c>
      <c r="C17" s="7">
        <f>H16</f>
        <v/>
      </c>
      <c r="D17" s="9">
        <f>Inputs!$B$13/12</f>
        <v/>
      </c>
      <c r="E17" s="7">
        <f>-IPMT(D17,A17,Inputs!$B$14*12,Inputs!$B$4*Inputs!$B$12)</f>
        <v/>
      </c>
      <c r="F17" s="7">
        <f>-PMT(D17,Inputs!$B$14*12,Inputs!$B$4*Inputs!$B$12)</f>
        <v/>
      </c>
      <c r="G17" s="7">
        <f>-PPMT(D17,A17,Inputs!$B$14*12,Inputs!$B$4*Inputs!$B$12)</f>
        <v/>
      </c>
      <c r="H17" s="7">
        <f>MAX(0,C17-G17)</f>
        <v/>
      </c>
      <c r="I17" s="7">
        <f>IF(A17=Inputs!$B$6*12,H17,0)</f>
        <v/>
      </c>
      <c r="J17" s="7">
        <f>SUMIFS($F$4:$F$63,$B$4:$B$63,B17)</f>
        <v/>
      </c>
    </row>
    <row r="18">
      <c r="A18" t="n">
        <v>15</v>
      </c>
      <c r="B18">
        <f>ROUNDUP(A18/12,0)</f>
        <v/>
      </c>
      <c r="C18" s="7">
        <f>H17</f>
        <v/>
      </c>
      <c r="D18" s="9">
        <f>Inputs!$B$13/12</f>
        <v/>
      </c>
      <c r="E18" s="7">
        <f>-IPMT(D18,A18,Inputs!$B$14*12,Inputs!$B$4*Inputs!$B$12)</f>
        <v/>
      </c>
      <c r="F18" s="7">
        <f>-PMT(D18,Inputs!$B$14*12,Inputs!$B$4*Inputs!$B$12)</f>
        <v/>
      </c>
      <c r="G18" s="7">
        <f>-PPMT(D18,A18,Inputs!$B$14*12,Inputs!$B$4*Inputs!$B$12)</f>
        <v/>
      </c>
      <c r="H18" s="7">
        <f>MAX(0,C18-G18)</f>
        <v/>
      </c>
      <c r="I18" s="7">
        <f>IF(A18=Inputs!$B$6*12,H18,0)</f>
        <v/>
      </c>
      <c r="J18" s="7">
        <f>SUMIFS($F$4:$F$63,$B$4:$B$63,B18)</f>
        <v/>
      </c>
    </row>
    <row r="19">
      <c r="A19" t="n">
        <v>16</v>
      </c>
      <c r="B19">
        <f>ROUNDUP(A19/12,0)</f>
        <v/>
      </c>
      <c r="C19" s="7">
        <f>H18</f>
        <v/>
      </c>
      <c r="D19" s="9">
        <f>Inputs!$B$13/12</f>
        <v/>
      </c>
      <c r="E19" s="7">
        <f>-IPMT(D19,A19,Inputs!$B$14*12,Inputs!$B$4*Inputs!$B$12)</f>
        <v/>
      </c>
      <c r="F19" s="7">
        <f>-PMT(D19,Inputs!$B$14*12,Inputs!$B$4*Inputs!$B$12)</f>
        <v/>
      </c>
      <c r="G19" s="7">
        <f>-PPMT(D19,A19,Inputs!$B$14*12,Inputs!$B$4*Inputs!$B$12)</f>
        <v/>
      </c>
      <c r="H19" s="7">
        <f>MAX(0,C19-G19)</f>
        <v/>
      </c>
      <c r="I19" s="7">
        <f>IF(A19=Inputs!$B$6*12,H19,0)</f>
        <v/>
      </c>
      <c r="J19" s="7">
        <f>SUMIFS($F$4:$F$63,$B$4:$B$63,B19)</f>
        <v/>
      </c>
    </row>
    <row r="20">
      <c r="A20" t="n">
        <v>17</v>
      </c>
      <c r="B20">
        <f>ROUNDUP(A20/12,0)</f>
        <v/>
      </c>
      <c r="C20" s="7">
        <f>H19</f>
        <v/>
      </c>
      <c r="D20" s="9">
        <f>Inputs!$B$13/12</f>
        <v/>
      </c>
      <c r="E20" s="7">
        <f>-IPMT(D20,A20,Inputs!$B$14*12,Inputs!$B$4*Inputs!$B$12)</f>
        <v/>
      </c>
      <c r="F20" s="7">
        <f>-PMT(D20,Inputs!$B$14*12,Inputs!$B$4*Inputs!$B$12)</f>
        <v/>
      </c>
      <c r="G20" s="7">
        <f>-PPMT(D20,A20,Inputs!$B$14*12,Inputs!$B$4*Inputs!$B$12)</f>
        <v/>
      </c>
      <c r="H20" s="7">
        <f>MAX(0,C20-G20)</f>
        <v/>
      </c>
      <c r="I20" s="7">
        <f>IF(A20=Inputs!$B$6*12,H20,0)</f>
        <v/>
      </c>
      <c r="J20" s="7">
        <f>SUMIFS($F$4:$F$63,$B$4:$B$63,B20)</f>
        <v/>
      </c>
    </row>
    <row r="21">
      <c r="A21" t="n">
        <v>18</v>
      </c>
      <c r="B21">
        <f>ROUNDUP(A21/12,0)</f>
        <v/>
      </c>
      <c r="C21" s="7">
        <f>H20</f>
        <v/>
      </c>
      <c r="D21" s="9">
        <f>Inputs!$B$13/12</f>
        <v/>
      </c>
      <c r="E21" s="7">
        <f>-IPMT(D21,A21,Inputs!$B$14*12,Inputs!$B$4*Inputs!$B$12)</f>
        <v/>
      </c>
      <c r="F21" s="7">
        <f>-PMT(D21,Inputs!$B$14*12,Inputs!$B$4*Inputs!$B$12)</f>
        <v/>
      </c>
      <c r="G21" s="7">
        <f>-PPMT(D21,A21,Inputs!$B$14*12,Inputs!$B$4*Inputs!$B$12)</f>
        <v/>
      </c>
      <c r="H21" s="7">
        <f>MAX(0,C21-G21)</f>
        <v/>
      </c>
      <c r="I21" s="7">
        <f>IF(A21=Inputs!$B$6*12,H21,0)</f>
        <v/>
      </c>
      <c r="J21" s="7">
        <f>SUMIFS($F$4:$F$63,$B$4:$B$63,B21)</f>
        <v/>
      </c>
    </row>
    <row r="22">
      <c r="A22" t="n">
        <v>19</v>
      </c>
      <c r="B22">
        <f>ROUNDUP(A22/12,0)</f>
        <v/>
      </c>
      <c r="C22" s="7">
        <f>H21</f>
        <v/>
      </c>
      <c r="D22" s="9">
        <f>Inputs!$B$13/12</f>
        <v/>
      </c>
      <c r="E22" s="7">
        <f>-IPMT(D22,A22,Inputs!$B$14*12,Inputs!$B$4*Inputs!$B$12)</f>
        <v/>
      </c>
      <c r="F22" s="7">
        <f>-PMT(D22,Inputs!$B$14*12,Inputs!$B$4*Inputs!$B$12)</f>
        <v/>
      </c>
      <c r="G22" s="7">
        <f>-PPMT(D22,A22,Inputs!$B$14*12,Inputs!$B$4*Inputs!$B$12)</f>
        <v/>
      </c>
      <c r="H22" s="7">
        <f>MAX(0,C22-G22)</f>
        <v/>
      </c>
      <c r="I22" s="7">
        <f>IF(A22=Inputs!$B$6*12,H22,0)</f>
        <v/>
      </c>
      <c r="J22" s="7">
        <f>SUMIFS($F$4:$F$63,$B$4:$B$63,B22)</f>
        <v/>
      </c>
    </row>
    <row r="23">
      <c r="A23" t="n">
        <v>20</v>
      </c>
      <c r="B23">
        <f>ROUNDUP(A23/12,0)</f>
        <v/>
      </c>
      <c r="C23" s="7">
        <f>H22</f>
        <v/>
      </c>
      <c r="D23" s="9">
        <f>Inputs!$B$13/12</f>
        <v/>
      </c>
      <c r="E23" s="7">
        <f>-IPMT(D23,A23,Inputs!$B$14*12,Inputs!$B$4*Inputs!$B$12)</f>
        <v/>
      </c>
      <c r="F23" s="7">
        <f>-PMT(D23,Inputs!$B$14*12,Inputs!$B$4*Inputs!$B$12)</f>
        <v/>
      </c>
      <c r="G23" s="7">
        <f>-PPMT(D23,A23,Inputs!$B$14*12,Inputs!$B$4*Inputs!$B$12)</f>
        <v/>
      </c>
      <c r="H23" s="7">
        <f>MAX(0,C23-G23)</f>
        <v/>
      </c>
      <c r="I23" s="7">
        <f>IF(A23=Inputs!$B$6*12,H23,0)</f>
        <v/>
      </c>
      <c r="J23" s="7">
        <f>SUMIFS($F$4:$F$63,$B$4:$B$63,B23)</f>
        <v/>
      </c>
    </row>
    <row r="24">
      <c r="A24" t="n">
        <v>21</v>
      </c>
      <c r="B24">
        <f>ROUNDUP(A24/12,0)</f>
        <v/>
      </c>
      <c r="C24" s="7">
        <f>H23</f>
        <v/>
      </c>
      <c r="D24" s="9">
        <f>Inputs!$B$13/12</f>
        <v/>
      </c>
      <c r="E24" s="7">
        <f>-IPMT(D24,A24,Inputs!$B$14*12,Inputs!$B$4*Inputs!$B$12)</f>
        <v/>
      </c>
      <c r="F24" s="7">
        <f>-PMT(D24,Inputs!$B$14*12,Inputs!$B$4*Inputs!$B$12)</f>
        <v/>
      </c>
      <c r="G24" s="7">
        <f>-PPMT(D24,A24,Inputs!$B$14*12,Inputs!$B$4*Inputs!$B$12)</f>
        <v/>
      </c>
      <c r="H24" s="7">
        <f>MAX(0,C24-G24)</f>
        <v/>
      </c>
      <c r="I24" s="7">
        <f>IF(A24=Inputs!$B$6*12,H24,0)</f>
        <v/>
      </c>
      <c r="J24" s="7">
        <f>SUMIFS($F$4:$F$63,$B$4:$B$63,B24)</f>
        <v/>
      </c>
    </row>
    <row r="25">
      <c r="A25" t="n">
        <v>22</v>
      </c>
      <c r="B25">
        <f>ROUNDUP(A25/12,0)</f>
        <v/>
      </c>
      <c r="C25" s="7">
        <f>H24</f>
        <v/>
      </c>
      <c r="D25" s="9">
        <f>Inputs!$B$13/12</f>
        <v/>
      </c>
      <c r="E25" s="7">
        <f>-IPMT(D25,A25,Inputs!$B$14*12,Inputs!$B$4*Inputs!$B$12)</f>
        <v/>
      </c>
      <c r="F25" s="7">
        <f>-PMT(D25,Inputs!$B$14*12,Inputs!$B$4*Inputs!$B$12)</f>
        <v/>
      </c>
      <c r="G25" s="7">
        <f>-PPMT(D25,A25,Inputs!$B$14*12,Inputs!$B$4*Inputs!$B$12)</f>
        <v/>
      </c>
      <c r="H25" s="7">
        <f>MAX(0,C25-G25)</f>
        <v/>
      </c>
      <c r="I25" s="7">
        <f>IF(A25=Inputs!$B$6*12,H25,0)</f>
        <v/>
      </c>
      <c r="J25" s="7">
        <f>SUMIFS($F$4:$F$63,$B$4:$B$63,B25)</f>
        <v/>
      </c>
    </row>
    <row r="26">
      <c r="A26" t="n">
        <v>23</v>
      </c>
      <c r="B26">
        <f>ROUNDUP(A26/12,0)</f>
        <v/>
      </c>
      <c r="C26" s="7">
        <f>H25</f>
        <v/>
      </c>
      <c r="D26" s="9">
        <f>Inputs!$B$13/12</f>
        <v/>
      </c>
      <c r="E26" s="7">
        <f>-IPMT(D26,A26,Inputs!$B$14*12,Inputs!$B$4*Inputs!$B$12)</f>
        <v/>
      </c>
      <c r="F26" s="7">
        <f>-PMT(D26,Inputs!$B$14*12,Inputs!$B$4*Inputs!$B$12)</f>
        <v/>
      </c>
      <c r="G26" s="7">
        <f>-PPMT(D26,A26,Inputs!$B$14*12,Inputs!$B$4*Inputs!$B$12)</f>
        <v/>
      </c>
      <c r="H26" s="7">
        <f>MAX(0,C26-G26)</f>
        <v/>
      </c>
      <c r="I26" s="7">
        <f>IF(A26=Inputs!$B$6*12,H26,0)</f>
        <v/>
      </c>
      <c r="J26" s="7">
        <f>SUMIFS($F$4:$F$63,$B$4:$B$63,B26)</f>
        <v/>
      </c>
    </row>
    <row r="27">
      <c r="A27" t="n">
        <v>24</v>
      </c>
      <c r="B27">
        <f>ROUNDUP(A27/12,0)</f>
        <v/>
      </c>
      <c r="C27" s="7">
        <f>H26</f>
        <v/>
      </c>
      <c r="D27" s="9">
        <f>Inputs!$B$13/12</f>
        <v/>
      </c>
      <c r="E27" s="7">
        <f>-IPMT(D27,A27,Inputs!$B$14*12,Inputs!$B$4*Inputs!$B$12)</f>
        <v/>
      </c>
      <c r="F27" s="7">
        <f>-PMT(D27,Inputs!$B$14*12,Inputs!$B$4*Inputs!$B$12)</f>
        <v/>
      </c>
      <c r="G27" s="7">
        <f>-PPMT(D27,A27,Inputs!$B$14*12,Inputs!$B$4*Inputs!$B$12)</f>
        <v/>
      </c>
      <c r="H27" s="7">
        <f>MAX(0,C27-G27)</f>
        <v/>
      </c>
      <c r="I27" s="7">
        <f>IF(A27=Inputs!$B$6*12,H27,0)</f>
        <v/>
      </c>
      <c r="J27" s="7">
        <f>SUMIFS($F$4:$F$63,$B$4:$B$63,B27)</f>
        <v/>
      </c>
    </row>
    <row r="28">
      <c r="A28" t="n">
        <v>25</v>
      </c>
      <c r="B28">
        <f>ROUNDUP(A28/12,0)</f>
        <v/>
      </c>
      <c r="C28" s="7">
        <f>H27</f>
        <v/>
      </c>
      <c r="D28" s="9">
        <f>Inputs!$B$13/12</f>
        <v/>
      </c>
      <c r="E28" s="7">
        <f>-IPMT(D28,A28,Inputs!$B$14*12,Inputs!$B$4*Inputs!$B$12)</f>
        <v/>
      </c>
      <c r="F28" s="7">
        <f>-PMT(D28,Inputs!$B$14*12,Inputs!$B$4*Inputs!$B$12)</f>
        <v/>
      </c>
      <c r="G28" s="7">
        <f>-PPMT(D28,A28,Inputs!$B$14*12,Inputs!$B$4*Inputs!$B$12)</f>
        <v/>
      </c>
      <c r="H28" s="7">
        <f>MAX(0,C28-G28)</f>
        <v/>
      </c>
      <c r="I28" s="7">
        <f>IF(A28=Inputs!$B$6*12,H28,0)</f>
        <v/>
      </c>
      <c r="J28" s="7">
        <f>SUMIFS($F$4:$F$63,$B$4:$B$63,B28)</f>
        <v/>
      </c>
    </row>
    <row r="29">
      <c r="A29" t="n">
        <v>26</v>
      </c>
      <c r="B29">
        <f>ROUNDUP(A29/12,0)</f>
        <v/>
      </c>
      <c r="C29" s="7">
        <f>H28</f>
        <v/>
      </c>
      <c r="D29" s="9">
        <f>Inputs!$B$13/12</f>
        <v/>
      </c>
      <c r="E29" s="7">
        <f>-IPMT(D29,A29,Inputs!$B$14*12,Inputs!$B$4*Inputs!$B$12)</f>
        <v/>
      </c>
      <c r="F29" s="7">
        <f>-PMT(D29,Inputs!$B$14*12,Inputs!$B$4*Inputs!$B$12)</f>
        <v/>
      </c>
      <c r="G29" s="7">
        <f>-PPMT(D29,A29,Inputs!$B$14*12,Inputs!$B$4*Inputs!$B$12)</f>
        <v/>
      </c>
      <c r="H29" s="7">
        <f>MAX(0,C29-G29)</f>
        <v/>
      </c>
      <c r="I29" s="7">
        <f>IF(A29=Inputs!$B$6*12,H29,0)</f>
        <v/>
      </c>
      <c r="J29" s="7">
        <f>SUMIFS($F$4:$F$63,$B$4:$B$63,B29)</f>
        <v/>
      </c>
    </row>
    <row r="30">
      <c r="A30" t="n">
        <v>27</v>
      </c>
      <c r="B30">
        <f>ROUNDUP(A30/12,0)</f>
        <v/>
      </c>
      <c r="C30" s="7">
        <f>H29</f>
        <v/>
      </c>
      <c r="D30" s="9">
        <f>Inputs!$B$13/12</f>
        <v/>
      </c>
      <c r="E30" s="7">
        <f>-IPMT(D30,A30,Inputs!$B$14*12,Inputs!$B$4*Inputs!$B$12)</f>
        <v/>
      </c>
      <c r="F30" s="7">
        <f>-PMT(D30,Inputs!$B$14*12,Inputs!$B$4*Inputs!$B$12)</f>
        <v/>
      </c>
      <c r="G30" s="7">
        <f>-PPMT(D30,A30,Inputs!$B$14*12,Inputs!$B$4*Inputs!$B$12)</f>
        <v/>
      </c>
      <c r="H30" s="7">
        <f>MAX(0,C30-G30)</f>
        <v/>
      </c>
      <c r="I30" s="7">
        <f>IF(A30=Inputs!$B$6*12,H30,0)</f>
        <v/>
      </c>
      <c r="J30" s="7">
        <f>SUMIFS($F$4:$F$63,$B$4:$B$63,B30)</f>
        <v/>
      </c>
    </row>
    <row r="31">
      <c r="A31" t="n">
        <v>28</v>
      </c>
      <c r="B31">
        <f>ROUNDUP(A31/12,0)</f>
        <v/>
      </c>
      <c r="C31" s="7">
        <f>H30</f>
        <v/>
      </c>
      <c r="D31" s="9">
        <f>Inputs!$B$13/12</f>
        <v/>
      </c>
      <c r="E31" s="7">
        <f>-IPMT(D31,A31,Inputs!$B$14*12,Inputs!$B$4*Inputs!$B$12)</f>
        <v/>
      </c>
      <c r="F31" s="7">
        <f>-PMT(D31,Inputs!$B$14*12,Inputs!$B$4*Inputs!$B$12)</f>
        <v/>
      </c>
      <c r="G31" s="7">
        <f>-PPMT(D31,A31,Inputs!$B$14*12,Inputs!$B$4*Inputs!$B$12)</f>
        <v/>
      </c>
      <c r="H31" s="7">
        <f>MAX(0,C31-G31)</f>
        <v/>
      </c>
      <c r="I31" s="7">
        <f>IF(A31=Inputs!$B$6*12,H31,0)</f>
        <v/>
      </c>
      <c r="J31" s="7">
        <f>SUMIFS($F$4:$F$63,$B$4:$B$63,B31)</f>
        <v/>
      </c>
    </row>
    <row r="32">
      <c r="A32" t="n">
        <v>29</v>
      </c>
      <c r="B32">
        <f>ROUNDUP(A32/12,0)</f>
        <v/>
      </c>
      <c r="C32" s="7">
        <f>H31</f>
        <v/>
      </c>
      <c r="D32" s="9">
        <f>Inputs!$B$13/12</f>
        <v/>
      </c>
      <c r="E32" s="7">
        <f>-IPMT(D32,A32,Inputs!$B$14*12,Inputs!$B$4*Inputs!$B$12)</f>
        <v/>
      </c>
      <c r="F32" s="7">
        <f>-PMT(D32,Inputs!$B$14*12,Inputs!$B$4*Inputs!$B$12)</f>
        <v/>
      </c>
      <c r="G32" s="7">
        <f>-PPMT(D32,A32,Inputs!$B$14*12,Inputs!$B$4*Inputs!$B$12)</f>
        <v/>
      </c>
      <c r="H32" s="7">
        <f>MAX(0,C32-G32)</f>
        <v/>
      </c>
      <c r="I32" s="7">
        <f>IF(A32=Inputs!$B$6*12,H32,0)</f>
        <v/>
      </c>
      <c r="J32" s="7">
        <f>SUMIFS($F$4:$F$63,$B$4:$B$63,B32)</f>
        <v/>
      </c>
    </row>
    <row r="33">
      <c r="A33" t="n">
        <v>30</v>
      </c>
      <c r="B33">
        <f>ROUNDUP(A33/12,0)</f>
        <v/>
      </c>
      <c r="C33" s="7">
        <f>H32</f>
        <v/>
      </c>
      <c r="D33" s="9">
        <f>Inputs!$B$13/12</f>
        <v/>
      </c>
      <c r="E33" s="7">
        <f>-IPMT(D33,A33,Inputs!$B$14*12,Inputs!$B$4*Inputs!$B$12)</f>
        <v/>
      </c>
      <c r="F33" s="7">
        <f>-PMT(D33,Inputs!$B$14*12,Inputs!$B$4*Inputs!$B$12)</f>
        <v/>
      </c>
      <c r="G33" s="7">
        <f>-PPMT(D33,A33,Inputs!$B$14*12,Inputs!$B$4*Inputs!$B$12)</f>
        <v/>
      </c>
      <c r="H33" s="7">
        <f>MAX(0,C33-G33)</f>
        <v/>
      </c>
      <c r="I33" s="7">
        <f>IF(A33=Inputs!$B$6*12,H33,0)</f>
        <v/>
      </c>
      <c r="J33" s="7">
        <f>SUMIFS($F$4:$F$63,$B$4:$B$63,B33)</f>
        <v/>
      </c>
    </row>
    <row r="34">
      <c r="A34" t="n">
        <v>31</v>
      </c>
      <c r="B34">
        <f>ROUNDUP(A34/12,0)</f>
        <v/>
      </c>
      <c r="C34" s="7">
        <f>H33</f>
        <v/>
      </c>
      <c r="D34" s="9">
        <f>Inputs!$B$13/12</f>
        <v/>
      </c>
      <c r="E34" s="7">
        <f>-IPMT(D34,A34,Inputs!$B$14*12,Inputs!$B$4*Inputs!$B$12)</f>
        <v/>
      </c>
      <c r="F34" s="7">
        <f>-PMT(D34,Inputs!$B$14*12,Inputs!$B$4*Inputs!$B$12)</f>
        <v/>
      </c>
      <c r="G34" s="7">
        <f>-PPMT(D34,A34,Inputs!$B$14*12,Inputs!$B$4*Inputs!$B$12)</f>
        <v/>
      </c>
      <c r="H34" s="7">
        <f>MAX(0,C34-G34)</f>
        <v/>
      </c>
      <c r="I34" s="7">
        <f>IF(A34=Inputs!$B$6*12,H34,0)</f>
        <v/>
      </c>
      <c r="J34" s="7">
        <f>SUMIFS($F$4:$F$63,$B$4:$B$63,B34)</f>
        <v/>
      </c>
    </row>
    <row r="35">
      <c r="A35" t="n">
        <v>32</v>
      </c>
      <c r="B35">
        <f>ROUNDUP(A35/12,0)</f>
        <v/>
      </c>
      <c r="C35" s="7">
        <f>H34</f>
        <v/>
      </c>
      <c r="D35" s="9">
        <f>Inputs!$B$13/12</f>
        <v/>
      </c>
      <c r="E35" s="7">
        <f>-IPMT(D35,A35,Inputs!$B$14*12,Inputs!$B$4*Inputs!$B$12)</f>
        <v/>
      </c>
      <c r="F35" s="7">
        <f>-PMT(D35,Inputs!$B$14*12,Inputs!$B$4*Inputs!$B$12)</f>
        <v/>
      </c>
      <c r="G35" s="7">
        <f>-PPMT(D35,A35,Inputs!$B$14*12,Inputs!$B$4*Inputs!$B$12)</f>
        <v/>
      </c>
      <c r="H35" s="7">
        <f>MAX(0,C35-G35)</f>
        <v/>
      </c>
      <c r="I35" s="7">
        <f>IF(A35=Inputs!$B$6*12,H35,0)</f>
        <v/>
      </c>
      <c r="J35" s="7">
        <f>SUMIFS($F$4:$F$63,$B$4:$B$63,B35)</f>
        <v/>
      </c>
    </row>
    <row r="36">
      <c r="A36" t="n">
        <v>33</v>
      </c>
      <c r="B36">
        <f>ROUNDUP(A36/12,0)</f>
        <v/>
      </c>
      <c r="C36" s="7">
        <f>H35</f>
        <v/>
      </c>
      <c r="D36" s="9">
        <f>Inputs!$B$13/12</f>
        <v/>
      </c>
      <c r="E36" s="7">
        <f>-IPMT(D36,A36,Inputs!$B$14*12,Inputs!$B$4*Inputs!$B$12)</f>
        <v/>
      </c>
      <c r="F36" s="7">
        <f>-PMT(D36,Inputs!$B$14*12,Inputs!$B$4*Inputs!$B$12)</f>
        <v/>
      </c>
      <c r="G36" s="7">
        <f>-PPMT(D36,A36,Inputs!$B$14*12,Inputs!$B$4*Inputs!$B$12)</f>
        <v/>
      </c>
      <c r="H36" s="7">
        <f>MAX(0,C36-G36)</f>
        <v/>
      </c>
      <c r="I36" s="7">
        <f>IF(A36=Inputs!$B$6*12,H36,0)</f>
        <v/>
      </c>
      <c r="J36" s="7">
        <f>SUMIFS($F$4:$F$63,$B$4:$B$63,B36)</f>
        <v/>
      </c>
    </row>
    <row r="37">
      <c r="A37" t="n">
        <v>34</v>
      </c>
      <c r="B37">
        <f>ROUNDUP(A37/12,0)</f>
        <v/>
      </c>
      <c r="C37" s="7">
        <f>H36</f>
        <v/>
      </c>
      <c r="D37" s="9">
        <f>Inputs!$B$13/12</f>
        <v/>
      </c>
      <c r="E37" s="7">
        <f>-IPMT(D37,A37,Inputs!$B$14*12,Inputs!$B$4*Inputs!$B$12)</f>
        <v/>
      </c>
      <c r="F37" s="7">
        <f>-PMT(D37,Inputs!$B$14*12,Inputs!$B$4*Inputs!$B$12)</f>
        <v/>
      </c>
      <c r="G37" s="7">
        <f>-PPMT(D37,A37,Inputs!$B$14*12,Inputs!$B$4*Inputs!$B$12)</f>
        <v/>
      </c>
      <c r="H37" s="7">
        <f>MAX(0,C37-G37)</f>
        <v/>
      </c>
      <c r="I37" s="7">
        <f>IF(A37=Inputs!$B$6*12,H37,0)</f>
        <v/>
      </c>
      <c r="J37" s="7">
        <f>SUMIFS($F$4:$F$63,$B$4:$B$63,B37)</f>
        <v/>
      </c>
    </row>
    <row r="38">
      <c r="A38" t="n">
        <v>35</v>
      </c>
      <c r="B38">
        <f>ROUNDUP(A38/12,0)</f>
        <v/>
      </c>
      <c r="C38" s="7">
        <f>H37</f>
        <v/>
      </c>
      <c r="D38" s="9">
        <f>Inputs!$B$13/12</f>
        <v/>
      </c>
      <c r="E38" s="7">
        <f>-IPMT(D38,A38,Inputs!$B$14*12,Inputs!$B$4*Inputs!$B$12)</f>
        <v/>
      </c>
      <c r="F38" s="7">
        <f>-PMT(D38,Inputs!$B$14*12,Inputs!$B$4*Inputs!$B$12)</f>
        <v/>
      </c>
      <c r="G38" s="7">
        <f>-PPMT(D38,A38,Inputs!$B$14*12,Inputs!$B$4*Inputs!$B$12)</f>
        <v/>
      </c>
      <c r="H38" s="7">
        <f>MAX(0,C38-G38)</f>
        <v/>
      </c>
      <c r="I38" s="7">
        <f>IF(A38=Inputs!$B$6*12,H38,0)</f>
        <v/>
      </c>
      <c r="J38" s="7">
        <f>SUMIFS($F$4:$F$63,$B$4:$B$63,B38)</f>
        <v/>
      </c>
    </row>
    <row r="39">
      <c r="A39" t="n">
        <v>36</v>
      </c>
      <c r="B39">
        <f>ROUNDUP(A39/12,0)</f>
        <v/>
      </c>
      <c r="C39" s="7">
        <f>H38</f>
        <v/>
      </c>
      <c r="D39" s="9">
        <f>Inputs!$B$13/12</f>
        <v/>
      </c>
      <c r="E39" s="7">
        <f>-IPMT(D39,A39,Inputs!$B$14*12,Inputs!$B$4*Inputs!$B$12)</f>
        <v/>
      </c>
      <c r="F39" s="7">
        <f>-PMT(D39,Inputs!$B$14*12,Inputs!$B$4*Inputs!$B$12)</f>
        <v/>
      </c>
      <c r="G39" s="7">
        <f>-PPMT(D39,A39,Inputs!$B$14*12,Inputs!$B$4*Inputs!$B$12)</f>
        <v/>
      </c>
      <c r="H39" s="7">
        <f>MAX(0,C39-G39)</f>
        <v/>
      </c>
      <c r="I39" s="7">
        <f>IF(A39=Inputs!$B$6*12,H39,0)</f>
        <v/>
      </c>
      <c r="J39" s="7">
        <f>SUMIFS($F$4:$F$63,$B$4:$B$63,B39)</f>
        <v/>
      </c>
    </row>
    <row r="40">
      <c r="A40" t="n">
        <v>37</v>
      </c>
      <c r="B40">
        <f>ROUNDUP(A40/12,0)</f>
        <v/>
      </c>
      <c r="C40" s="7">
        <f>H39</f>
        <v/>
      </c>
      <c r="D40" s="9">
        <f>Inputs!$B$13/12</f>
        <v/>
      </c>
      <c r="E40" s="7">
        <f>-IPMT(D40,A40,Inputs!$B$14*12,Inputs!$B$4*Inputs!$B$12)</f>
        <v/>
      </c>
      <c r="F40" s="7">
        <f>-PMT(D40,Inputs!$B$14*12,Inputs!$B$4*Inputs!$B$12)</f>
        <v/>
      </c>
      <c r="G40" s="7">
        <f>-PPMT(D40,A40,Inputs!$B$14*12,Inputs!$B$4*Inputs!$B$12)</f>
        <v/>
      </c>
      <c r="H40" s="7">
        <f>MAX(0,C40-G40)</f>
        <v/>
      </c>
      <c r="I40" s="7">
        <f>IF(A40=Inputs!$B$6*12,H40,0)</f>
        <v/>
      </c>
      <c r="J40" s="7">
        <f>SUMIFS($F$4:$F$63,$B$4:$B$63,B40)</f>
        <v/>
      </c>
    </row>
    <row r="41">
      <c r="A41" t="n">
        <v>38</v>
      </c>
      <c r="B41">
        <f>ROUNDUP(A41/12,0)</f>
        <v/>
      </c>
      <c r="C41" s="7">
        <f>H40</f>
        <v/>
      </c>
      <c r="D41" s="9">
        <f>Inputs!$B$13/12</f>
        <v/>
      </c>
      <c r="E41" s="7">
        <f>-IPMT(D41,A41,Inputs!$B$14*12,Inputs!$B$4*Inputs!$B$12)</f>
        <v/>
      </c>
      <c r="F41" s="7">
        <f>-PMT(D41,Inputs!$B$14*12,Inputs!$B$4*Inputs!$B$12)</f>
        <v/>
      </c>
      <c r="G41" s="7">
        <f>-PPMT(D41,A41,Inputs!$B$14*12,Inputs!$B$4*Inputs!$B$12)</f>
        <v/>
      </c>
      <c r="H41" s="7">
        <f>MAX(0,C41-G41)</f>
        <v/>
      </c>
      <c r="I41" s="7">
        <f>IF(A41=Inputs!$B$6*12,H41,0)</f>
        <v/>
      </c>
      <c r="J41" s="7">
        <f>SUMIFS($F$4:$F$63,$B$4:$B$63,B41)</f>
        <v/>
      </c>
    </row>
    <row r="42">
      <c r="A42" t="n">
        <v>39</v>
      </c>
      <c r="B42">
        <f>ROUNDUP(A42/12,0)</f>
        <v/>
      </c>
      <c r="C42" s="7">
        <f>H41</f>
        <v/>
      </c>
      <c r="D42" s="9">
        <f>Inputs!$B$13/12</f>
        <v/>
      </c>
      <c r="E42" s="7">
        <f>-IPMT(D42,A42,Inputs!$B$14*12,Inputs!$B$4*Inputs!$B$12)</f>
        <v/>
      </c>
      <c r="F42" s="7">
        <f>-PMT(D42,Inputs!$B$14*12,Inputs!$B$4*Inputs!$B$12)</f>
        <v/>
      </c>
      <c r="G42" s="7">
        <f>-PPMT(D42,A42,Inputs!$B$14*12,Inputs!$B$4*Inputs!$B$12)</f>
        <v/>
      </c>
      <c r="H42" s="7">
        <f>MAX(0,C42-G42)</f>
        <v/>
      </c>
      <c r="I42" s="7">
        <f>IF(A42=Inputs!$B$6*12,H42,0)</f>
        <v/>
      </c>
      <c r="J42" s="7">
        <f>SUMIFS($F$4:$F$63,$B$4:$B$63,B42)</f>
        <v/>
      </c>
    </row>
    <row r="43">
      <c r="A43" t="n">
        <v>40</v>
      </c>
      <c r="B43">
        <f>ROUNDUP(A43/12,0)</f>
        <v/>
      </c>
      <c r="C43" s="7">
        <f>H42</f>
        <v/>
      </c>
      <c r="D43" s="9">
        <f>Inputs!$B$13/12</f>
        <v/>
      </c>
      <c r="E43" s="7">
        <f>-IPMT(D43,A43,Inputs!$B$14*12,Inputs!$B$4*Inputs!$B$12)</f>
        <v/>
      </c>
      <c r="F43" s="7">
        <f>-PMT(D43,Inputs!$B$14*12,Inputs!$B$4*Inputs!$B$12)</f>
        <v/>
      </c>
      <c r="G43" s="7">
        <f>-PPMT(D43,A43,Inputs!$B$14*12,Inputs!$B$4*Inputs!$B$12)</f>
        <v/>
      </c>
      <c r="H43" s="7">
        <f>MAX(0,C43-G43)</f>
        <v/>
      </c>
      <c r="I43" s="7">
        <f>IF(A43=Inputs!$B$6*12,H43,0)</f>
        <v/>
      </c>
      <c r="J43" s="7">
        <f>SUMIFS($F$4:$F$63,$B$4:$B$63,B43)</f>
        <v/>
      </c>
    </row>
    <row r="44">
      <c r="A44" t="n">
        <v>41</v>
      </c>
      <c r="B44">
        <f>ROUNDUP(A44/12,0)</f>
        <v/>
      </c>
      <c r="C44" s="7">
        <f>H43</f>
        <v/>
      </c>
      <c r="D44" s="9">
        <f>Inputs!$B$13/12</f>
        <v/>
      </c>
      <c r="E44" s="7">
        <f>-IPMT(D44,A44,Inputs!$B$14*12,Inputs!$B$4*Inputs!$B$12)</f>
        <v/>
      </c>
      <c r="F44" s="7">
        <f>-PMT(D44,Inputs!$B$14*12,Inputs!$B$4*Inputs!$B$12)</f>
        <v/>
      </c>
      <c r="G44" s="7">
        <f>-PPMT(D44,A44,Inputs!$B$14*12,Inputs!$B$4*Inputs!$B$12)</f>
        <v/>
      </c>
      <c r="H44" s="7">
        <f>MAX(0,C44-G44)</f>
        <v/>
      </c>
      <c r="I44" s="7">
        <f>IF(A44=Inputs!$B$6*12,H44,0)</f>
        <v/>
      </c>
      <c r="J44" s="7">
        <f>SUMIFS($F$4:$F$63,$B$4:$B$63,B44)</f>
        <v/>
      </c>
    </row>
    <row r="45">
      <c r="A45" t="n">
        <v>42</v>
      </c>
      <c r="B45">
        <f>ROUNDUP(A45/12,0)</f>
        <v/>
      </c>
      <c r="C45" s="7">
        <f>H44</f>
        <v/>
      </c>
      <c r="D45" s="9">
        <f>Inputs!$B$13/12</f>
        <v/>
      </c>
      <c r="E45" s="7">
        <f>-IPMT(D45,A45,Inputs!$B$14*12,Inputs!$B$4*Inputs!$B$12)</f>
        <v/>
      </c>
      <c r="F45" s="7">
        <f>-PMT(D45,Inputs!$B$14*12,Inputs!$B$4*Inputs!$B$12)</f>
        <v/>
      </c>
      <c r="G45" s="7">
        <f>-PPMT(D45,A45,Inputs!$B$14*12,Inputs!$B$4*Inputs!$B$12)</f>
        <v/>
      </c>
      <c r="H45" s="7">
        <f>MAX(0,C45-G45)</f>
        <v/>
      </c>
      <c r="I45" s="7">
        <f>IF(A45=Inputs!$B$6*12,H45,0)</f>
        <v/>
      </c>
      <c r="J45" s="7">
        <f>SUMIFS($F$4:$F$63,$B$4:$B$63,B45)</f>
        <v/>
      </c>
    </row>
    <row r="46">
      <c r="A46" t="n">
        <v>43</v>
      </c>
      <c r="B46">
        <f>ROUNDUP(A46/12,0)</f>
        <v/>
      </c>
      <c r="C46" s="7">
        <f>H45</f>
        <v/>
      </c>
      <c r="D46" s="9">
        <f>Inputs!$B$13/12</f>
        <v/>
      </c>
      <c r="E46" s="7">
        <f>-IPMT(D46,A46,Inputs!$B$14*12,Inputs!$B$4*Inputs!$B$12)</f>
        <v/>
      </c>
      <c r="F46" s="7">
        <f>-PMT(D46,Inputs!$B$14*12,Inputs!$B$4*Inputs!$B$12)</f>
        <v/>
      </c>
      <c r="G46" s="7">
        <f>-PPMT(D46,A46,Inputs!$B$14*12,Inputs!$B$4*Inputs!$B$12)</f>
        <v/>
      </c>
      <c r="H46" s="7">
        <f>MAX(0,C46-G46)</f>
        <v/>
      </c>
      <c r="I46" s="7">
        <f>IF(A46=Inputs!$B$6*12,H46,0)</f>
        <v/>
      </c>
      <c r="J46" s="7">
        <f>SUMIFS($F$4:$F$63,$B$4:$B$63,B46)</f>
        <v/>
      </c>
    </row>
    <row r="47">
      <c r="A47" t="n">
        <v>44</v>
      </c>
      <c r="B47">
        <f>ROUNDUP(A47/12,0)</f>
        <v/>
      </c>
      <c r="C47" s="7">
        <f>H46</f>
        <v/>
      </c>
      <c r="D47" s="9">
        <f>Inputs!$B$13/12</f>
        <v/>
      </c>
      <c r="E47" s="7">
        <f>-IPMT(D47,A47,Inputs!$B$14*12,Inputs!$B$4*Inputs!$B$12)</f>
        <v/>
      </c>
      <c r="F47" s="7">
        <f>-PMT(D47,Inputs!$B$14*12,Inputs!$B$4*Inputs!$B$12)</f>
        <v/>
      </c>
      <c r="G47" s="7">
        <f>-PPMT(D47,A47,Inputs!$B$14*12,Inputs!$B$4*Inputs!$B$12)</f>
        <v/>
      </c>
      <c r="H47" s="7">
        <f>MAX(0,C47-G47)</f>
        <v/>
      </c>
      <c r="I47" s="7">
        <f>IF(A47=Inputs!$B$6*12,H47,0)</f>
        <v/>
      </c>
      <c r="J47" s="7">
        <f>SUMIFS($F$4:$F$63,$B$4:$B$63,B47)</f>
        <v/>
      </c>
    </row>
    <row r="48">
      <c r="A48" t="n">
        <v>45</v>
      </c>
      <c r="B48">
        <f>ROUNDUP(A48/12,0)</f>
        <v/>
      </c>
      <c r="C48" s="7">
        <f>H47</f>
        <v/>
      </c>
      <c r="D48" s="9">
        <f>Inputs!$B$13/12</f>
        <v/>
      </c>
      <c r="E48" s="7">
        <f>-IPMT(D48,A48,Inputs!$B$14*12,Inputs!$B$4*Inputs!$B$12)</f>
        <v/>
      </c>
      <c r="F48" s="7">
        <f>-PMT(D48,Inputs!$B$14*12,Inputs!$B$4*Inputs!$B$12)</f>
        <v/>
      </c>
      <c r="G48" s="7">
        <f>-PPMT(D48,A48,Inputs!$B$14*12,Inputs!$B$4*Inputs!$B$12)</f>
        <v/>
      </c>
      <c r="H48" s="7">
        <f>MAX(0,C48-G48)</f>
        <v/>
      </c>
      <c r="I48" s="7">
        <f>IF(A48=Inputs!$B$6*12,H48,0)</f>
        <v/>
      </c>
      <c r="J48" s="7">
        <f>SUMIFS($F$4:$F$63,$B$4:$B$63,B48)</f>
        <v/>
      </c>
    </row>
    <row r="49">
      <c r="A49" t="n">
        <v>46</v>
      </c>
      <c r="B49">
        <f>ROUNDUP(A49/12,0)</f>
        <v/>
      </c>
      <c r="C49" s="7">
        <f>H48</f>
        <v/>
      </c>
      <c r="D49" s="9">
        <f>Inputs!$B$13/12</f>
        <v/>
      </c>
      <c r="E49" s="7">
        <f>-IPMT(D49,A49,Inputs!$B$14*12,Inputs!$B$4*Inputs!$B$12)</f>
        <v/>
      </c>
      <c r="F49" s="7">
        <f>-PMT(D49,Inputs!$B$14*12,Inputs!$B$4*Inputs!$B$12)</f>
        <v/>
      </c>
      <c r="G49" s="7">
        <f>-PPMT(D49,A49,Inputs!$B$14*12,Inputs!$B$4*Inputs!$B$12)</f>
        <v/>
      </c>
      <c r="H49" s="7">
        <f>MAX(0,C49-G49)</f>
        <v/>
      </c>
      <c r="I49" s="7">
        <f>IF(A49=Inputs!$B$6*12,H49,0)</f>
        <v/>
      </c>
      <c r="J49" s="7">
        <f>SUMIFS($F$4:$F$63,$B$4:$B$63,B49)</f>
        <v/>
      </c>
    </row>
    <row r="50">
      <c r="A50" t="n">
        <v>47</v>
      </c>
      <c r="B50">
        <f>ROUNDUP(A50/12,0)</f>
        <v/>
      </c>
      <c r="C50" s="7">
        <f>H49</f>
        <v/>
      </c>
      <c r="D50" s="9">
        <f>Inputs!$B$13/12</f>
        <v/>
      </c>
      <c r="E50" s="7">
        <f>-IPMT(D50,A50,Inputs!$B$14*12,Inputs!$B$4*Inputs!$B$12)</f>
        <v/>
      </c>
      <c r="F50" s="7">
        <f>-PMT(D50,Inputs!$B$14*12,Inputs!$B$4*Inputs!$B$12)</f>
        <v/>
      </c>
      <c r="G50" s="7">
        <f>-PPMT(D50,A50,Inputs!$B$14*12,Inputs!$B$4*Inputs!$B$12)</f>
        <v/>
      </c>
      <c r="H50" s="7">
        <f>MAX(0,C50-G50)</f>
        <v/>
      </c>
      <c r="I50" s="7">
        <f>IF(A50=Inputs!$B$6*12,H50,0)</f>
        <v/>
      </c>
      <c r="J50" s="7">
        <f>SUMIFS($F$4:$F$63,$B$4:$B$63,B50)</f>
        <v/>
      </c>
    </row>
    <row r="51">
      <c r="A51" t="n">
        <v>48</v>
      </c>
      <c r="B51">
        <f>ROUNDUP(A51/12,0)</f>
        <v/>
      </c>
      <c r="C51" s="7">
        <f>H50</f>
        <v/>
      </c>
      <c r="D51" s="9">
        <f>Inputs!$B$13/12</f>
        <v/>
      </c>
      <c r="E51" s="7">
        <f>-IPMT(D51,A51,Inputs!$B$14*12,Inputs!$B$4*Inputs!$B$12)</f>
        <v/>
      </c>
      <c r="F51" s="7">
        <f>-PMT(D51,Inputs!$B$14*12,Inputs!$B$4*Inputs!$B$12)</f>
        <v/>
      </c>
      <c r="G51" s="7">
        <f>-PPMT(D51,A51,Inputs!$B$14*12,Inputs!$B$4*Inputs!$B$12)</f>
        <v/>
      </c>
      <c r="H51" s="7">
        <f>MAX(0,C51-G51)</f>
        <v/>
      </c>
      <c r="I51" s="7">
        <f>IF(A51=Inputs!$B$6*12,H51,0)</f>
        <v/>
      </c>
      <c r="J51" s="7">
        <f>SUMIFS($F$4:$F$63,$B$4:$B$63,B51)</f>
        <v/>
      </c>
    </row>
    <row r="52">
      <c r="A52" t="n">
        <v>49</v>
      </c>
      <c r="B52">
        <f>ROUNDUP(A52/12,0)</f>
        <v/>
      </c>
      <c r="C52" s="7">
        <f>H51</f>
        <v/>
      </c>
      <c r="D52" s="9">
        <f>Inputs!$B$13/12</f>
        <v/>
      </c>
      <c r="E52" s="7">
        <f>-IPMT(D52,A52,Inputs!$B$14*12,Inputs!$B$4*Inputs!$B$12)</f>
        <v/>
      </c>
      <c r="F52" s="7">
        <f>-PMT(D52,Inputs!$B$14*12,Inputs!$B$4*Inputs!$B$12)</f>
        <v/>
      </c>
      <c r="G52" s="7">
        <f>-PPMT(D52,A52,Inputs!$B$14*12,Inputs!$B$4*Inputs!$B$12)</f>
        <v/>
      </c>
      <c r="H52" s="7">
        <f>MAX(0,C52-G52)</f>
        <v/>
      </c>
      <c r="I52" s="7">
        <f>IF(A52=Inputs!$B$6*12,H52,0)</f>
        <v/>
      </c>
      <c r="J52" s="7">
        <f>SUMIFS($F$4:$F$63,$B$4:$B$63,B52)</f>
        <v/>
      </c>
    </row>
    <row r="53">
      <c r="A53" t="n">
        <v>50</v>
      </c>
      <c r="B53">
        <f>ROUNDUP(A53/12,0)</f>
        <v/>
      </c>
      <c r="C53" s="7">
        <f>H52</f>
        <v/>
      </c>
      <c r="D53" s="9">
        <f>Inputs!$B$13/12</f>
        <v/>
      </c>
      <c r="E53" s="7">
        <f>-IPMT(D53,A53,Inputs!$B$14*12,Inputs!$B$4*Inputs!$B$12)</f>
        <v/>
      </c>
      <c r="F53" s="7">
        <f>-PMT(D53,Inputs!$B$14*12,Inputs!$B$4*Inputs!$B$12)</f>
        <v/>
      </c>
      <c r="G53" s="7">
        <f>-PPMT(D53,A53,Inputs!$B$14*12,Inputs!$B$4*Inputs!$B$12)</f>
        <v/>
      </c>
      <c r="H53" s="7">
        <f>MAX(0,C53-G53)</f>
        <v/>
      </c>
      <c r="I53" s="7">
        <f>IF(A53=Inputs!$B$6*12,H53,0)</f>
        <v/>
      </c>
      <c r="J53" s="7">
        <f>SUMIFS($F$4:$F$63,$B$4:$B$63,B53)</f>
        <v/>
      </c>
    </row>
    <row r="54">
      <c r="A54" t="n">
        <v>51</v>
      </c>
      <c r="B54">
        <f>ROUNDUP(A54/12,0)</f>
        <v/>
      </c>
      <c r="C54" s="7">
        <f>H53</f>
        <v/>
      </c>
      <c r="D54" s="9">
        <f>Inputs!$B$13/12</f>
        <v/>
      </c>
      <c r="E54" s="7">
        <f>-IPMT(D54,A54,Inputs!$B$14*12,Inputs!$B$4*Inputs!$B$12)</f>
        <v/>
      </c>
      <c r="F54" s="7">
        <f>-PMT(D54,Inputs!$B$14*12,Inputs!$B$4*Inputs!$B$12)</f>
        <v/>
      </c>
      <c r="G54" s="7">
        <f>-PPMT(D54,A54,Inputs!$B$14*12,Inputs!$B$4*Inputs!$B$12)</f>
        <v/>
      </c>
      <c r="H54" s="7">
        <f>MAX(0,C54-G54)</f>
        <v/>
      </c>
      <c r="I54" s="7">
        <f>IF(A54=Inputs!$B$6*12,H54,0)</f>
        <v/>
      </c>
      <c r="J54" s="7">
        <f>SUMIFS($F$4:$F$63,$B$4:$B$63,B54)</f>
        <v/>
      </c>
    </row>
    <row r="55">
      <c r="A55" t="n">
        <v>52</v>
      </c>
      <c r="B55">
        <f>ROUNDUP(A55/12,0)</f>
        <v/>
      </c>
      <c r="C55" s="7">
        <f>H54</f>
        <v/>
      </c>
      <c r="D55" s="9">
        <f>Inputs!$B$13/12</f>
        <v/>
      </c>
      <c r="E55" s="7">
        <f>-IPMT(D55,A55,Inputs!$B$14*12,Inputs!$B$4*Inputs!$B$12)</f>
        <v/>
      </c>
      <c r="F55" s="7">
        <f>-PMT(D55,Inputs!$B$14*12,Inputs!$B$4*Inputs!$B$12)</f>
        <v/>
      </c>
      <c r="G55" s="7">
        <f>-PPMT(D55,A55,Inputs!$B$14*12,Inputs!$B$4*Inputs!$B$12)</f>
        <v/>
      </c>
      <c r="H55" s="7">
        <f>MAX(0,C55-G55)</f>
        <v/>
      </c>
      <c r="I55" s="7">
        <f>IF(A55=Inputs!$B$6*12,H55,0)</f>
        <v/>
      </c>
      <c r="J55" s="7">
        <f>SUMIFS($F$4:$F$63,$B$4:$B$63,B55)</f>
        <v/>
      </c>
    </row>
    <row r="56">
      <c r="A56" t="n">
        <v>53</v>
      </c>
      <c r="B56">
        <f>ROUNDUP(A56/12,0)</f>
        <v/>
      </c>
      <c r="C56" s="7">
        <f>H55</f>
        <v/>
      </c>
      <c r="D56" s="9">
        <f>Inputs!$B$13/12</f>
        <v/>
      </c>
      <c r="E56" s="7">
        <f>-IPMT(D56,A56,Inputs!$B$14*12,Inputs!$B$4*Inputs!$B$12)</f>
        <v/>
      </c>
      <c r="F56" s="7">
        <f>-PMT(D56,Inputs!$B$14*12,Inputs!$B$4*Inputs!$B$12)</f>
        <v/>
      </c>
      <c r="G56" s="7">
        <f>-PPMT(D56,A56,Inputs!$B$14*12,Inputs!$B$4*Inputs!$B$12)</f>
        <v/>
      </c>
      <c r="H56" s="7">
        <f>MAX(0,C56-G56)</f>
        <v/>
      </c>
      <c r="I56" s="7">
        <f>IF(A56=Inputs!$B$6*12,H56,0)</f>
        <v/>
      </c>
      <c r="J56" s="7">
        <f>SUMIFS($F$4:$F$63,$B$4:$B$63,B56)</f>
        <v/>
      </c>
    </row>
    <row r="57">
      <c r="A57" t="n">
        <v>54</v>
      </c>
      <c r="B57">
        <f>ROUNDUP(A57/12,0)</f>
        <v/>
      </c>
      <c r="C57" s="7">
        <f>H56</f>
        <v/>
      </c>
      <c r="D57" s="9">
        <f>Inputs!$B$13/12</f>
        <v/>
      </c>
      <c r="E57" s="7">
        <f>-IPMT(D57,A57,Inputs!$B$14*12,Inputs!$B$4*Inputs!$B$12)</f>
        <v/>
      </c>
      <c r="F57" s="7">
        <f>-PMT(D57,Inputs!$B$14*12,Inputs!$B$4*Inputs!$B$12)</f>
        <v/>
      </c>
      <c r="G57" s="7">
        <f>-PPMT(D57,A57,Inputs!$B$14*12,Inputs!$B$4*Inputs!$B$12)</f>
        <v/>
      </c>
      <c r="H57" s="7">
        <f>MAX(0,C57-G57)</f>
        <v/>
      </c>
      <c r="I57" s="7">
        <f>IF(A57=Inputs!$B$6*12,H57,0)</f>
        <v/>
      </c>
      <c r="J57" s="7">
        <f>SUMIFS($F$4:$F$63,$B$4:$B$63,B57)</f>
        <v/>
      </c>
    </row>
    <row r="58">
      <c r="A58" t="n">
        <v>55</v>
      </c>
      <c r="B58">
        <f>ROUNDUP(A58/12,0)</f>
        <v/>
      </c>
      <c r="C58" s="7">
        <f>H57</f>
        <v/>
      </c>
      <c r="D58" s="9">
        <f>Inputs!$B$13/12</f>
        <v/>
      </c>
      <c r="E58" s="7">
        <f>-IPMT(D58,A58,Inputs!$B$14*12,Inputs!$B$4*Inputs!$B$12)</f>
        <v/>
      </c>
      <c r="F58" s="7">
        <f>-PMT(D58,Inputs!$B$14*12,Inputs!$B$4*Inputs!$B$12)</f>
        <v/>
      </c>
      <c r="G58" s="7">
        <f>-PPMT(D58,A58,Inputs!$B$14*12,Inputs!$B$4*Inputs!$B$12)</f>
        <v/>
      </c>
      <c r="H58" s="7">
        <f>MAX(0,C58-G58)</f>
        <v/>
      </c>
      <c r="I58" s="7">
        <f>IF(A58=Inputs!$B$6*12,H58,0)</f>
        <v/>
      </c>
      <c r="J58" s="7">
        <f>SUMIFS($F$4:$F$63,$B$4:$B$63,B58)</f>
        <v/>
      </c>
    </row>
    <row r="59">
      <c r="A59" t="n">
        <v>56</v>
      </c>
      <c r="B59">
        <f>ROUNDUP(A59/12,0)</f>
        <v/>
      </c>
      <c r="C59" s="7">
        <f>H58</f>
        <v/>
      </c>
      <c r="D59" s="9">
        <f>Inputs!$B$13/12</f>
        <v/>
      </c>
      <c r="E59" s="7">
        <f>-IPMT(D59,A59,Inputs!$B$14*12,Inputs!$B$4*Inputs!$B$12)</f>
        <v/>
      </c>
      <c r="F59" s="7">
        <f>-PMT(D59,Inputs!$B$14*12,Inputs!$B$4*Inputs!$B$12)</f>
        <v/>
      </c>
      <c r="G59" s="7">
        <f>-PPMT(D59,A59,Inputs!$B$14*12,Inputs!$B$4*Inputs!$B$12)</f>
        <v/>
      </c>
      <c r="H59" s="7">
        <f>MAX(0,C59-G59)</f>
        <v/>
      </c>
      <c r="I59" s="7">
        <f>IF(A59=Inputs!$B$6*12,H59,0)</f>
        <v/>
      </c>
      <c r="J59" s="7">
        <f>SUMIFS($F$4:$F$63,$B$4:$B$63,B59)</f>
        <v/>
      </c>
    </row>
    <row r="60">
      <c r="A60" t="n">
        <v>57</v>
      </c>
      <c r="B60">
        <f>ROUNDUP(A60/12,0)</f>
        <v/>
      </c>
      <c r="C60" s="7">
        <f>H59</f>
        <v/>
      </c>
      <c r="D60" s="9">
        <f>Inputs!$B$13/12</f>
        <v/>
      </c>
      <c r="E60" s="7">
        <f>-IPMT(D60,A60,Inputs!$B$14*12,Inputs!$B$4*Inputs!$B$12)</f>
        <v/>
      </c>
      <c r="F60" s="7">
        <f>-PMT(D60,Inputs!$B$14*12,Inputs!$B$4*Inputs!$B$12)</f>
        <v/>
      </c>
      <c r="G60" s="7">
        <f>-PPMT(D60,A60,Inputs!$B$14*12,Inputs!$B$4*Inputs!$B$12)</f>
        <v/>
      </c>
      <c r="H60" s="7">
        <f>MAX(0,C60-G60)</f>
        <v/>
      </c>
      <c r="I60" s="7">
        <f>IF(A60=Inputs!$B$6*12,H60,0)</f>
        <v/>
      </c>
      <c r="J60" s="7">
        <f>SUMIFS($F$4:$F$63,$B$4:$B$63,B60)</f>
        <v/>
      </c>
    </row>
    <row r="61">
      <c r="A61" t="n">
        <v>58</v>
      </c>
      <c r="B61">
        <f>ROUNDUP(A61/12,0)</f>
        <v/>
      </c>
      <c r="C61" s="7">
        <f>H60</f>
        <v/>
      </c>
      <c r="D61" s="9">
        <f>Inputs!$B$13/12</f>
        <v/>
      </c>
      <c r="E61" s="7">
        <f>-IPMT(D61,A61,Inputs!$B$14*12,Inputs!$B$4*Inputs!$B$12)</f>
        <v/>
      </c>
      <c r="F61" s="7">
        <f>-PMT(D61,Inputs!$B$14*12,Inputs!$B$4*Inputs!$B$12)</f>
        <v/>
      </c>
      <c r="G61" s="7">
        <f>-PPMT(D61,A61,Inputs!$B$14*12,Inputs!$B$4*Inputs!$B$12)</f>
        <v/>
      </c>
      <c r="H61" s="7">
        <f>MAX(0,C61-G61)</f>
        <v/>
      </c>
      <c r="I61" s="7">
        <f>IF(A61=Inputs!$B$6*12,H61,0)</f>
        <v/>
      </c>
      <c r="J61" s="7">
        <f>SUMIFS($F$4:$F$63,$B$4:$B$63,B61)</f>
        <v/>
      </c>
    </row>
    <row r="62">
      <c r="A62" t="n">
        <v>59</v>
      </c>
      <c r="B62">
        <f>ROUNDUP(A62/12,0)</f>
        <v/>
      </c>
      <c r="C62" s="7">
        <f>H61</f>
        <v/>
      </c>
      <c r="D62" s="9">
        <f>Inputs!$B$13/12</f>
        <v/>
      </c>
      <c r="E62" s="7">
        <f>-IPMT(D62,A62,Inputs!$B$14*12,Inputs!$B$4*Inputs!$B$12)</f>
        <v/>
      </c>
      <c r="F62" s="7">
        <f>-PMT(D62,Inputs!$B$14*12,Inputs!$B$4*Inputs!$B$12)</f>
        <v/>
      </c>
      <c r="G62" s="7">
        <f>-PPMT(D62,A62,Inputs!$B$14*12,Inputs!$B$4*Inputs!$B$12)</f>
        <v/>
      </c>
      <c r="H62" s="7">
        <f>MAX(0,C62-G62)</f>
        <v/>
      </c>
      <c r="I62" s="7">
        <f>IF(A62=Inputs!$B$6*12,H62,0)</f>
        <v/>
      </c>
      <c r="J62" s="7">
        <f>SUMIFS($F$4:$F$63,$B$4:$B$63,B62)</f>
        <v/>
      </c>
    </row>
    <row r="63">
      <c r="A63" t="n">
        <v>60</v>
      </c>
      <c r="B63">
        <f>ROUNDUP(A63/12,0)</f>
        <v/>
      </c>
      <c r="C63" s="7">
        <f>H62</f>
        <v/>
      </c>
      <c r="D63" s="9">
        <f>Inputs!$B$13/12</f>
        <v/>
      </c>
      <c r="E63" s="7">
        <f>-IPMT(D63,A63,Inputs!$B$14*12,Inputs!$B$4*Inputs!$B$12)</f>
        <v/>
      </c>
      <c r="F63" s="7">
        <f>-PMT(D63,Inputs!$B$14*12,Inputs!$B$4*Inputs!$B$12)</f>
        <v/>
      </c>
      <c r="G63" s="7">
        <f>-PPMT(D63,A63,Inputs!$B$14*12,Inputs!$B$4*Inputs!$B$12)</f>
        <v/>
      </c>
      <c r="H63" s="7">
        <f>MAX(0,C63-G63)</f>
        <v/>
      </c>
      <c r="I63" s="7">
        <f>IF(A63=Inputs!$B$6*12,H63,0)</f>
        <v/>
      </c>
      <c r="J63" s="7">
        <f>SUMIFS($F$4:$F$63,$B$4:$B$63,B63)</f>
        <v/>
      </c>
    </row>
  </sheetData>
  <autoFilter ref="A1:J6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32" customWidth="1" min="4" max="4"/>
  </cols>
  <sheetData>
    <row r="1">
      <c r="A1" s="1" t="inlineStr">
        <is>
          <t>ILLUSTRATIVE — Annual levered and unlevered cash flows</t>
        </is>
      </c>
    </row>
    <row r="3">
      <c r="A3" s="2" t="inlineStr">
        <is>
          <t>Period</t>
        </is>
      </c>
      <c r="B3" s="2" t="inlineStr">
        <is>
          <t>Unlevered cash flow</t>
        </is>
      </c>
      <c r="C3" s="2" t="inlineStr">
        <is>
          <t>Levered cash flow</t>
        </is>
      </c>
      <c r="D3" s="2" t="inlineStr">
        <is>
          <t>Detail</t>
        </is>
      </c>
    </row>
    <row r="4">
      <c r="A4" t="n">
        <v>0</v>
      </c>
      <c r="B4" s="7">
        <f>-Inputs!$B$4*(1+Inputs!$B$10)</f>
        <v/>
      </c>
      <c r="C4" s="7">
        <f>B4+Inputs!$B$4*Inputs!$B$12</f>
        <v/>
      </c>
      <c r="D4" t="inlineStr">
        <is>
          <t>Acquisition and initial equity</t>
        </is>
      </c>
    </row>
    <row r="5">
      <c r="A5" t="n">
        <v>1</v>
      </c>
      <c r="B5" s="7">
        <f>'Annual NOI'!E4</f>
        <v/>
      </c>
      <c r="C5" s="7">
        <f>B5-'Annual NOI'!F4</f>
        <v/>
      </c>
      <c r="D5" t="inlineStr">
        <is>
          <t>Year 1</t>
        </is>
      </c>
    </row>
    <row r="6">
      <c r="A6" t="n">
        <v>2</v>
      </c>
      <c r="B6" s="7">
        <f>'Annual NOI'!E5</f>
        <v/>
      </c>
      <c r="C6" s="7">
        <f>B6-'Annual NOI'!F5</f>
        <v/>
      </c>
      <c r="D6" t="inlineStr">
        <is>
          <t>Year 2</t>
        </is>
      </c>
    </row>
    <row r="7">
      <c r="A7" t="n">
        <v>3</v>
      </c>
      <c r="B7" s="7">
        <f>'Annual NOI'!E6</f>
        <v/>
      </c>
      <c r="C7" s="7">
        <f>B7-'Annual NOI'!F6</f>
        <v/>
      </c>
      <c r="D7" t="inlineStr">
        <is>
          <t>Year 3</t>
        </is>
      </c>
    </row>
    <row r="8">
      <c r="A8" t="n">
        <v>4</v>
      </c>
      <c r="B8" s="7">
        <f>'Annual NOI'!E7</f>
        <v/>
      </c>
      <c r="C8" s="7">
        <f>B8-'Annual NOI'!F7</f>
        <v/>
      </c>
      <c r="D8" t="inlineStr">
        <is>
          <t>Year 4</t>
        </is>
      </c>
    </row>
    <row r="9">
      <c r="A9" t="n">
        <v>5</v>
      </c>
      <c r="B9" s="7">
        <f>'Annual NOI'!E8</f>
        <v/>
      </c>
      <c r="C9" s="7">
        <f>B9-'Annual NOI'!F8-'Debt Schedule'!I63</f>
        <v/>
      </c>
      <c r="D9" t="inlineStr">
        <is>
          <t>Year 5</t>
        </is>
      </c>
    </row>
    <row r="11">
      <c r="A11" s="10" t="inlineStr">
        <is>
          <t>Unlevered IRR</t>
        </is>
      </c>
      <c r="B11" s="11">
        <f>IRR(B4:B9)</f>
        <v/>
      </c>
    </row>
    <row r="12">
      <c r="A12" s="10" t="inlineStr">
        <is>
          <t>Levered IRR</t>
        </is>
      </c>
      <c r="B12" s="11">
        <f>IRR(C4:C9)</f>
        <v/>
      </c>
    </row>
    <row r="13">
      <c r="A13" s="10" t="inlineStr">
        <is>
          <t>Unlevered NPV</t>
        </is>
      </c>
      <c r="B13" s="12">
        <f>B4+NPV(Inputs!$B$9,B5:B9)</f>
        <v/>
      </c>
    </row>
    <row r="14">
      <c r="A14" s="10" t="inlineStr">
        <is>
          <t>Equity multiple</t>
        </is>
      </c>
      <c r="B14" s="13">
        <f>SUMIF(C4:C9,"&gt;0",C4:C9)/-SUMIF(C4:C9,"&lt;0",C4:C9)</f>
        <v/>
      </c>
    </row>
  </sheetData>
  <autoFilter ref="A1:D14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ILLUSTRATIVE — Formula-to-model reconciliation</t>
        </is>
      </c>
    </row>
    <row r="2">
      <c r="A2" t="inlineStr">
        <is>
          <t>Difference is workbook formula less static Python model output. Amounts should be approximately zero after recalculation.</t>
        </is>
      </c>
    </row>
    <row r="3">
      <c r="A3" s="2" t="inlineStr">
        <is>
          <t>Metric</t>
        </is>
      </c>
      <c r="B3" s="2" t="inlineStr">
        <is>
          <t>Excel formula result</t>
        </is>
      </c>
      <c r="C3" s="2" t="inlineStr">
        <is>
          <t>Model output</t>
        </is>
      </c>
      <c r="D3" s="2" t="inlineStr">
        <is>
          <t>Difference</t>
        </is>
      </c>
      <c r="E3" s="2" t="inlineStr">
        <is>
          <t>Tolerance</t>
        </is>
      </c>
      <c r="F3" s="14" t="inlineStr">
        <is>
          <t>Status</t>
        </is>
      </c>
    </row>
    <row r="4">
      <c r="A4" t="inlineStr">
        <is>
          <t>Entry cap rate</t>
        </is>
      </c>
      <c r="B4" s="15">
        <f>Inputs!$B$5/Inputs!$B$4</f>
        <v/>
      </c>
      <c r="C4" s="15" t="n">
        <v>0.065</v>
      </c>
      <c r="D4" s="15">
        <f>B4-C4</f>
        <v/>
      </c>
      <c r="E4" s="15" t="n">
        <v>1e-08</v>
      </c>
      <c r="F4">
        <f>IF(ABS(D4)&lt;=E4,"PASS","REVIEW")</f>
        <v/>
      </c>
    </row>
    <row r="5">
      <c r="A5" t="inlineStr">
        <is>
          <t>Exit value</t>
        </is>
      </c>
      <c r="B5" s="3">
        <f>'Annual NOI'!C8</f>
        <v/>
      </c>
      <c r="C5" s="3" t="n">
        <v>12193012.10833334</v>
      </c>
      <c r="D5" s="3">
        <f>B5-C5</f>
        <v/>
      </c>
      <c r="E5" s="3" t="n">
        <v>0.01</v>
      </c>
      <c r="F5">
        <f>IF(ABS(D5)&lt;=E5,"PASS","REVIEW")</f>
        <v/>
      </c>
    </row>
    <row r="6">
      <c r="A6" t="inlineStr">
        <is>
          <t>Remaining debt at exit</t>
        </is>
      </c>
      <c r="B6" s="3">
        <f>'Debt Schedule'!H63</f>
        <v/>
      </c>
      <c r="C6" s="3" t="n">
        <v>4244979.922334797</v>
      </c>
      <c r="D6" s="3">
        <f>B6-C6</f>
        <v/>
      </c>
      <c r="E6" s="3" t="n">
        <v>0.01</v>
      </c>
      <c r="F6">
        <f>IF(ABS(D6)&lt;=E6,"PASS","REVIEW")</f>
        <v/>
      </c>
    </row>
    <row r="7">
      <c r="A7" t="inlineStr">
        <is>
          <t>Minimum DSCR</t>
        </is>
      </c>
      <c r="B7" s="15">
        <f>MIN('Annual NOI'!G4:G8)</f>
        <v/>
      </c>
      <c r="C7" s="15" t="n">
        <v>1.512125026565049</v>
      </c>
      <c r="D7" s="15">
        <f>B7-C7</f>
        <v/>
      </c>
      <c r="E7" s="15" t="n">
        <v>1e-08</v>
      </c>
      <c r="F7">
        <f>IF(ABS(D7)&lt;=E7,"PASS","REVIEW")</f>
        <v/>
      </c>
    </row>
    <row r="8">
      <c r="A8" t="inlineStr">
        <is>
          <t>Unlevered IRR</t>
        </is>
      </c>
      <c r="B8" s="15">
        <f>'Cash Flows'!B11</f>
        <v/>
      </c>
      <c r="C8" s="15" t="n">
        <v>0.09323847108941388</v>
      </c>
      <c r="D8" s="15">
        <f>B8-C8</f>
        <v/>
      </c>
      <c r="E8" s="15" t="n">
        <v>1e-08</v>
      </c>
      <c r="F8">
        <f>IF(ABS(D8)&lt;=E8,"PASS","REVIEW")</f>
        <v/>
      </c>
    </row>
    <row r="9">
      <c r="A9" t="inlineStr">
        <is>
          <t>Levered IRR</t>
        </is>
      </c>
      <c r="B9" s="15">
        <f>'Cash Flows'!B12</f>
        <v/>
      </c>
      <c r="C9" s="15" t="n">
        <v>0.1197006646970014</v>
      </c>
      <c r="D9" s="15">
        <f>B9-C9</f>
        <v/>
      </c>
      <c r="E9" s="15" t="n">
        <v>1e-08</v>
      </c>
      <c r="F9">
        <f>IF(ABS(D9)&lt;=E9,"PASS","REVIEW")</f>
        <v/>
      </c>
    </row>
    <row r="10">
      <c r="A10" t="inlineStr">
        <is>
          <t>Unlevered NPV</t>
        </is>
      </c>
      <c r="B10" s="3">
        <f>'Cash Flows'!B13</f>
        <v/>
      </c>
      <c r="C10" s="3" t="n">
        <v>-278826.7395628309</v>
      </c>
      <c r="D10" s="3">
        <f>B10-C10</f>
        <v/>
      </c>
      <c r="E10" s="3" t="n">
        <v>0.01</v>
      </c>
      <c r="F10">
        <f>IF(ABS(D10)&lt;=E10,"PASS","REVIEW")</f>
        <v/>
      </c>
    </row>
    <row r="11">
      <c r="A11" t="inlineStr">
        <is>
          <t>Equity multiple</t>
        </is>
      </c>
      <c r="B11" s="15">
        <f>'Cash Flows'!B14</f>
        <v/>
      </c>
      <c r="C11" s="15" t="n">
        <v>1.69921076318818</v>
      </c>
      <c r="D11" s="15">
        <f>B11-C11</f>
        <v/>
      </c>
      <c r="E11" s="15" t="n">
        <v>1e-08</v>
      </c>
      <c r="F11">
        <f>IF(ABS(D11)&lt;=E11,"PASS","REVIEW")</f>
        <v/>
      </c>
    </row>
  </sheetData>
  <autoFilter ref="A1:F11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  <col width="50" customWidth="1" min="4" max="4"/>
    <col width="32" customWidth="1" min="5" max="5"/>
    <col width="20" customWidth="1" min="6" max="6"/>
    <col width="28" customWidth="1" min="7" max="7"/>
  </cols>
  <sheetData>
    <row r="1">
      <c r="A1" s="1" t="inlineStr">
        <is>
          <t>ILLUSTRATIVE — Assumption and lineage register</t>
        </is>
      </c>
    </row>
    <row r="3">
      <c r="A3" s="2" t="inlineStr">
        <is>
          <t>assumption_id</t>
        </is>
      </c>
      <c r="B3" s="2" t="inlineStr">
        <is>
          <t>name</t>
        </is>
      </c>
      <c r="C3" s="2" t="inlineStr">
        <is>
          <t>value</t>
        </is>
      </c>
      <c r="D3" s="2" t="inlineStr">
        <is>
          <t>unit</t>
        </is>
      </c>
      <c r="E3" s="2" t="inlineStr">
        <is>
          <t>version</t>
        </is>
      </c>
      <c r="F3" s="2" t="inlineStr">
        <is>
          <t>source</t>
        </is>
      </c>
      <c r="G3" s="2" t="inlineStr">
        <is>
          <t>status</t>
        </is>
      </c>
      <c r="H3" s="2" t="inlineStr">
        <is>
          <t>owner</t>
        </is>
      </c>
      <c r="I3" s="2" t="inlineStr">
        <is>
          <t>verified_by</t>
        </is>
      </c>
      <c r="J3" s="2" t="inlineStr">
        <is>
          <t>effective_at</t>
        </is>
      </c>
      <c r="K3" s="2" t="inlineStr">
        <is>
          <t>supersedes</t>
        </is>
      </c>
      <c r="L3" s="2" t="inlineStr">
        <is>
          <t>notes</t>
        </is>
      </c>
    </row>
    <row r="4">
      <c r="A4" t="inlineStr">
        <is>
          <t>ATLAS-001:purchase_price:v1</t>
        </is>
      </c>
      <c r="B4" t="inlineStr">
        <is>
          <t>purchase_price</t>
        </is>
      </c>
      <c r="C4" t="n">
        <v>10000000</v>
      </c>
      <c r="D4" t="inlineStr">
        <is>
          <t>USD</t>
        </is>
      </c>
      <c r="E4" t="n">
        <v>1</v>
      </c>
      <c r="F4" t="inlineStr">
        <is>
          <t>Illustrative reconciliation workbook</t>
        </is>
      </c>
      <c r="G4" t="inlineStr">
        <is>
          <t>REVIEW REQUIRED</t>
        </is>
      </c>
      <c r="H4" t="inlineStr">
        <is>
          <t>Investment team</t>
        </is>
      </c>
      <c r="I4" t="inlineStr"/>
      <c r="J4" t="inlineStr"/>
      <c r="K4" t="inlineStr"/>
      <c r="L4" t="inlineStr"/>
    </row>
    <row r="5">
      <c r="A5" t="inlineStr">
        <is>
          <t>ATLAS-001:annual_noi:v1</t>
        </is>
      </c>
      <c r="B5" t="inlineStr">
        <is>
          <t>annual_noi</t>
        </is>
      </c>
      <c r="C5" t="n">
        <v>650000</v>
      </c>
      <c r="D5" t="inlineStr">
        <is>
          <t>USD / year</t>
        </is>
      </c>
      <c r="E5" t="n">
        <v>1</v>
      </c>
      <c r="F5" t="inlineStr">
        <is>
          <t>Illustrative reconciliation workbook</t>
        </is>
      </c>
      <c r="G5" t="inlineStr">
        <is>
          <t>REVIEW REQUIRED</t>
        </is>
      </c>
      <c r="H5" t="inlineStr">
        <is>
          <t>Investment team</t>
        </is>
      </c>
      <c r="I5" t="inlineStr"/>
      <c r="J5" t="inlineStr"/>
      <c r="K5" t="inlineStr"/>
      <c r="L5" t="inlineStr"/>
    </row>
    <row r="6">
      <c r="A6" t="inlineStr">
        <is>
          <t>ATLAS-001:annual_noi_growth:v1</t>
        </is>
      </c>
      <c r="B6" t="inlineStr">
        <is>
          <t>annual_noi_growth</t>
        </is>
      </c>
      <c r="C6" t="n">
        <v>0.03</v>
      </c>
      <c r="D6" t="inlineStr">
        <is>
          <t>%</t>
        </is>
      </c>
      <c r="E6" t="n">
        <v>1</v>
      </c>
      <c r="F6" t="inlineStr">
        <is>
          <t>Illustrative reconciliation workbook</t>
        </is>
      </c>
      <c r="G6" t="inlineStr">
        <is>
          <t>REVIEW REQUIRED</t>
        </is>
      </c>
      <c r="H6" t="inlineStr">
        <is>
          <t>Investment team</t>
        </is>
      </c>
      <c r="I6" t="inlineStr"/>
      <c r="J6" t="inlineStr"/>
      <c r="K6" t="inlineStr"/>
      <c r="L6" t="inlineStr"/>
    </row>
    <row r="7">
      <c r="A7" t="inlineStr">
        <is>
          <t>ATLAS-001:exit_cap_rate:v1</t>
        </is>
      </c>
      <c r="B7" t="inlineStr">
        <is>
          <t>exit_cap_rate</t>
        </is>
      </c>
      <c r="C7" t="n">
        <v>0.06</v>
      </c>
      <c r="D7" t="inlineStr">
        <is>
          <t>%</t>
        </is>
      </c>
      <c r="E7" t="n">
        <v>1</v>
      </c>
      <c r="F7" t="inlineStr">
        <is>
          <t>Illustrative reconciliation workbook</t>
        </is>
      </c>
      <c r="G7" t="inlineStr">
        <is>
          <t>REVIEW REQUIRED</t>
        </is>
      </c>
      <c r="H7" t="inlineStr">
        <is>
          <t>Investment team</t>
        </is>
      </c>
      <c r="I7" t="inlineStr"/>
      <c r="J7" t="inlineStr"/>
      <c r="K7" t="inlineStr"/>
      <c r="L7" t="inlineStr"/>
    </row>
    <row r="8">
      <c r="A8" t="inlineStr">
        <is>
          <t>ATLAS-001:discount_rate:v1</t>
        </is>
      </c>
      <c r="B8" t="inlineStr">
        <is>
          <t>discount_rate</t>
        </is>
      </c>
      <c r="C8" t="n">
        <v>0.1</v>
      </c>
      <c r="D8" t="inlineStr">
        <is>
          <t>%</t>
        </is>
      </c>
      <c r="E8" t="n">
        <v>1</v>
      </c>
      <c r="F8" t="inlineStr">
        <is>
          <t>Illustrative reconciliation workbook</t>
        </is>
      </c>
      <c r="G8" t="inlineStr">
        <is>
          <t>REVIEW REQUIRED</t>
        </is>
      </c>
      <c r="H8" t="inlineStr">
        <is>
          <t>Investment team</t>
        </is>
      </c>
      <c r="I8" t="inlineStr"/>
      <c r="J8" t="inlineStr"/>
      <c r="K8" t="inlineStr"/>
      <c r="L8" t="inlineStr"/>
    </row>
    <row r="9">
      <c r="A9" t="inlineStr">
        <is>
          <t>ATLAS-001:acquisition_cost_pct:v1</t>
        </is>
      </c>
      <c r="B9" t="inlineStr">
        <is>
          <t>acquisition_cost_pct</t>
        </is>
      </c>
      <c r="C9" t="n">
        <v>0.03</v>
      </c>
      <c r="D9" t="inlineStr">
        <is>
          <t>%</t>
        </is>
      </c>
      <c r="E9" t="n">
        <v>1</v>
      </c>
      <c r="F9" t="inlineStr">
        <is>
          <t>Illustrative reconciliation workbook</t>
        </is>
      </c>
      <c r="G9" t="inlineStr">
        <is>
          <t>REVIEW REQUIRED</t>
        </is>
      </c>
      <c r="H9" t="inlineStr">
        <is>
          <t>Investment team</t>
        </is>
      </c>
      <c r="I9" t="inlineStr"/>
      <c r="J9" t="inlineStr"/>
      <c r="K9" t="inlineStr"/>
      <c r="L9" t="inlineStr"/>
    </row>
    <row r="10">
      <c r="A10" t="inlineStr">
        <is>
          <t>ATLAS-001:selling_cost_pct:v1</t>
        </is>
      </c>
      <c r="B10" t="inlineStr">
        <is>
          <t>selling_cost_pct</t>
        </is>
      </c>
      <c r="C10" t="n">
        <v>0.02</v>
      </c>
      <c r="D10" t="inlineStr">
        <is>
          <t>%</t>
        </is>
      </c>
      <c r="E10" t="n">
        <v>1</v>
      </c>
      <c r="F10" t="inlineStr">
        <is>
          <t>Illustrative reconciliation workbook</t>
        </is>
      </c>
      <c r="G10" t="inlineStr">
        <is>
          <t>REVIEW REQUIRED</t>
        </is>
      </c>
      <c r="H10" t="inlineStr">
        <is>
          <t>Investment team</t>
        </is>
      </c>
      <c r="I10" t="inlineStr"/>
      <c r="J10" t="inlineStr"/>
      <c r="K10" t="inlineStr"/>
      <c r="L10" t="inlineStr"/>
    </row>
    <row r="11">
      <c r="A11" t="inlineStr">
        <is>
          <t>ATLAS-001:leverage:v1</t>
        </is>
      </c>
      <c r="B11" t="inlineStr">
        <is>
          <t>leverage</t>
        </is>
      </c>
      <c r="C11" t="n">
        <v>0.5</v>
      </c>
      <c r="D11" t="inlineStr">
        <is>
          <t>%</t>
        </is>
      </c>
      <c r="E11" t="n">
        <v>1</v>
      </c>
      <c r="F11" t="inlineStr">
        <is>
          <t>Illustrative reconciliation workbook</t>
        </is>
      </c>
      <c r="G11" t="inlineStr">
        <is>
          <t>REVIEW REQUIRED</t>
        </is>
      </c>
      <c r="H11" t="inlineStr">
        <is>
          <t>Investment team</t>
        </is>
      </c>
      <c r="I11" t="inlineStr"/>
      <c r="J11" t="inlineStr"/>
      <c r="K11" t="inlineStr"/>
      <c r="L11" t="inlineStr"/>
    </row>
    <row r="12">
      <c r="A12" t="inlineStr">
        <is>
          <t>ATLAS-001:debt_rate:v1</t>
        </is>
      </c>
      <c r="B12" t="inlineStr">
        <is>
          <t>debt_rate</t>
        </is>
      </c>
      <c r="C12" t="n">
        <v>0.06</v>
      </c>
      <c r="D12" t="inlineStr">
        <is>
          <t>%</t>
        </is>
      </c>
      <c r="E12" t="n">
        <v>1</v>
      </c>
      <c r="F12" t="inlineStr">
        <is>
          <t>Illustrative reconciliation workbook</t>
        </is>
      </c>
      <c r="G12" t="inlineStr">
        <is>
          <t>REVIEW REQUIRED</t>
        </is>
      </c>
      <c r="H12" t="inlineStr">
        <is>
          <t>Investment team</t>
        </is>
      </c>
      <c r="I12" t="inlineStr"/>
      <c r="J12" t="inlineStr"/>
      <c r="K12" t="inlineStr"/>
      <c r="L12" t="inlineStr"/>
    </row>
    <row r="13">
      <c r="A13" t="inlineStr">
        <is>
          <t>ATLAS-001:debt_amortization_years:v1</t>
        </is>
      </c>
      <c r="B13" t="inlineStr">
        <is>
          <t>debt_amortization_years</t>
        </is>
      </c>
      <c r="C13" t="n">
        <v>20</v>
      </c>
      <c r="D13" t="inlineStr">
        <is>
          <t>years</t>
        </is>
      </c>
      <c r="E13" t="n">
        <v>1</v>
      </c>
      <c r="F13" t="inlineStr">
        <is>
          <t>Illustrative reconciliation workbook</t>
        </is>
      </c>
      <c r="G13" t="inlineStr">
        <is>
          <t>REVIEW REQUIRED</t>
        </is>
      </c>
      <c r="H13" t="inlineStr">
        <is>
          <t>Investment team</t>
        </is>
      </c>
      <c r="I13" t="inlineStr"/>
      <c r="J13" t="inlineStr"/>
      <c r="K13" t="inlineStr"/>
      <c r="L13" t="inlineStr"/>
    </row>
    <row r="14">
      <c r="A14" t="inlineStr">
        <is>
          <t>ATLAS-001:irr_hurdle:v1</t>
        </is>
      </c>
      <c r="B14" t="inlineStr">
        <is>
          <t>irr_hurdle</t>
        </is>
      </c>
      <c r="C14" t="n">
        <v>0.12</v>
      </c>
      <c r="D14" t="inlineStr">
        <is>
          <t>%</t>
        </is>
      </c>
      <c r="E14" t="n">
        <v>1</v>
      </c>
      <c r="F14" t="inlineStr">
        <is>
          <t>Illustrative reconciliation workbook</t>
        </is>
      </c>
      <c r="G14" t="inlineStr">
        <is>
          <t>REVIEW REQUIRED</t>
        </is>
      </c>
      <c r="H14" t="inlineStr">
        <is>
          <t>Investment team</t>
        </is>
      </c>
      <c r="I14" t="inlineStr"/>
      <c r="J14" t="inlineStr"/>
      <c r="K14" t="inlineStr"/>
      <c r="L14" t="inlineStr"/>
    </row>
    <row r="17">
      <c r="A17" s="10" t="inlineStr">
        <is>
          <t>Lineage records</t>
        </is>
      </c>
    </row>
    <row r="18">
      <c r="A18" s="2" t="inlineStr">
        <is>
          <t>Output</t>
        </is>
      </c>
      <c r="B18" s="2" t="inlineStr">
        <is>
          <t>Value</t>
        </is>
      </c>
      <c r="C18" s="2" t="inlineStr">
        <is>
          <t>Inputs</t>
        </is>
      </c>
      <c r="D18" s="2" t="inlineStr">
        <is>
          <t>Method</t>
        </is>
      </c>
      <c r="E18" s="2" t="inlineStr">
        <is>
          <t>Source references</t>
        </is>
      </c>
      <c r="F18" s="2" t="inlineStr">
        <is>
          <t>Assumption version</t>
        </is>
      </c>
    </row>
    <row r="19">
      <c r="A19" t="inlineStr">
        <is>
          <t>levered_irr</t>
        </is>
      </c>
      <c r="B19" t="inlineStr">
        <is>
          <t>derived</t>
        </is>
      </c>
      <c r="C19" t="inlineStr">
        <is>
          <t>purchase_price, annual_noi, annual_noi_growth, exit_cap_rate, leverage</t>
        </is>
      </c>
      <c r="D19" t="inlineStr">
        <is>
          <t>annual debt schedule + equity cash-flow IRR</t>
        </is>
      </c>
      <c r="E19" t="inlineStr">
        <is>
          <t>deal_inputs.csv</t>
        </is>
      </c>
      <c r="F19" t="n">
        <v>1</v>
      </c>
    </row>
    <row r="20">
      <c r="A20" t="inlineStr">
        <is>
          <t>minimum_dscr</t>
        </is>
      </c>
      <c r="B20" t="inlineStr">
        <is>
          <t>derived</t>
        </is>
      </c>
      <c r="C20" t="inlineStr">
        <is>
          <t>annual_noi, debt_rate, debt_amortization_years, leverage</t>
        </is>
      </c>
      <c r="D20" t="inlineStr">
        <is>
          <t>annual NOI / annual debt service</t>
        </is>
      </c>
      <c r="E20" t="inlineStr">
        <is>
          <t>loan_terms.xlsx</t>
        </is>
      </c>
      <c r="F20" t="n">
        <v>1</v>
      </c>
    </row>
    <row r="21">
      <c r="A21" t="inlineStr">
        <is>
          <t>exit_value</t>
        </is>
      </c>
      <c r="B21" t="inlineStr">
        <is>
          <t>derived</t>
        </is>
      </c>
      <c r="C21" t="inlineStr">
        <is>
          <t>annual_noi, annual_noi_growth, exit_cap_rate</t>
        </is>
      </c>
      <c r="D21" t="inlineStr">
        <is>
          <t>forward NOI / exit cap rate</t>
        </is>
      </c>
      <c r="E21" t="inlineStr">
        <is>
          <t>market_comps.pdf</t>
        </is>
      </c>
      <c r="F21" t="n">
        <v>1</v>
      </c>
    </row>
  </sheetData>
  <autoFilter ref="A1:L2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2026-09-19T22:08:42Z</dcterms:created>
  <dcterms:modified xsi:type="dcterms:W3CDTF">2026-09-19T22:08:42Z</dcterms:modified>
</cp:coreProperties>
</file>